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ti\Downloads\"/>
    </mc:Choice>
  </mc:AlternateContent>
  <xr:revisionPtr revIDLastSave="0" documentId="13_ncr:1_{6C4B01FB-D5EA-42CC-A798-5C0E02642D84}" xr6:coauthVersionLast="47" xr6:coauthVersionMax="47" xr10:uidLastSave="{00000000-0000-0000-0000-000000000000}"/>
  <bookViews>
    <workbookView xWindow="-108" yWindow="-108" windowWidth="23256" windowHeight="12456" tabRatio="799" xr2:uid="{00000000-000D-0000-FFFF-FFFF00000000}"/>
  </bookViews>
  <sheets>
    <sheet name="Control Winquote01" sheetId="3" r:id="rId1"/>
  </sheets>
  <definedNames>
    <definedName name="_xlnm._FilterDatabase" localSheetId="0" hidden="1">'Control Winquote01'!$A$2:$J$12</definedName>
    <definedName name="APL">#REF!</definedName>
    <definedName name="APL_Tel">#REF!</definedName>
    <definedName name="_xlnm.Print_Area" localSheetId="0">'Control Winquote01'!$A$1:$J$17</definedName>
    <definedName name="CAD">#REF!</definedName>
    <definedName name="CAD_Tel">#REF!</definedName>
    <definedName name="Commissioning_Engineer">#REF!</definedName>
    <definedName name="Commissioning_Engineer_Tel">#REF!</definedName>
    <definedName name="CPH">#REF!</definedName>
    <definedName name="CPH_Tel">#REF!</definedName>
    <definedName name="Customer">#REF!</definedName>
    <definedName name="Electrical_Engineer">#REF!</definedName>
    <definedName name="Electrical_Engineer_Tel">#REF!</definedName>
    <definedName name="Health_Safety">#REF!</definedName>
    <definedName name="Health_Safety_Tel">#REF!</definedName>
    <definedName name="Im_Phase_Project_Manager">#REF!</definedName>
    <definedName name="Im_Phase_Project_Manager_Tel">#REF!</definedName>
    <definedName name="Master_Path">#REF!</definedName>
    <definedName name="PreProject_Leader">#REF!</definedName>
    <definedName name="PreProject_Leader_Tel">#REF!</definedName>
    <definedName name="Process_Engineer">#REF!</definedName>
    <definedName name="Process_Engineer_Tel">#REF!</definedName>
    <definedName name="Proj_Num">#REF!</definedName>
    <definedName name="Proj_Path">#REF!</definedName>
    <definedName name="Proj_Title">#REF!</definedName>
    <definedName name="Sales_Leader">#REF!</definedName>
    <definedName name="Sales_Leader_Tel">#REF!</definedName>
    <definedName name="Sales_Phase_Project_Manager">#REF!</definedName>
    <definedName name="Sales_Phase_Project_Manager_Tel">#REF!</definedName>
    <definedName name="Site">#REF!</definedName>
    <definedName name="Site_Manager">#REF!</definedName>
    <definedName name="Site_Manager_Tel">#REF!</definedName>
    <definedName name="TPL">#REF!</definedName>
    <definedName name="TPL_Tel">#REF!</definedName>
    <definedName name="TSS_Responsible">#REF!</definedName>
    <definedName name="TSS_Responsible_Tel">#REF!</definedName>
    <definedName name="Utility_Engineer">#REF!</definedName>
    <definedName name="Utility_Engineer_Te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3" l="1"/>
  <c r="H12" i="3" s="1"/>
  <c r="G11" i="3"/>
  <c r="H11" i="3" s="1"/>
  <c r="G10" i="3"/>
  <c r="H10" i="3" s="1"/>
  <c r="G9" i="3"/>
  <c r="H9" i="3" s="1"/>
  <c r="G8" i="3"/>
  <c r="H8" i="3" s="1"/>
  <c r="G7" i="3"/>
  <c r="H7" i="3" s="1"/>
  <c r="G6" i="3"/>
  <c r="H6" i="3" s="1"/>
  <c r="G5" i="3"/>
  <c r="H5" i="3" s="1"/>
  <c r="G4" i="3"/>
  <c r="H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Manus</author>
  </authors>
  <commentList>
    <comment ref="B4" authorId="0" shapeId="0" xr:uid="{00000000-0006-0000-0200-000001000000}">
      <text>
        <r>
          <rPr>
            <sz val="10"/>
            <rFont val="Arial"/>
          </rPr>
          <t>Estimación aproximada: total de implementación de la Matriz de Adquisiciones.</t>
        </r>
      </text>
    </comment>
    <comment ref="C4" authorId="0" shapeId="0" xr:uid="{00000000-0006-0000-0200-000002000000}">
      <text>
        <r>
          <rPr>
            <sz val="10"/>
            <rFont val="Arial"/>
          </rPr>
          <t>Estimación aproximada del presupuesto actual; debe sustituirse por la última revisión aprobada.</t>
        </r>
      </text>
    </comment>
  </commentList>
</comments>
</file>

<file path=xl/sharedStrings.xml><?xml version="1.0" encoding="utf-8"?>
<sst xmlns="http://schemas.openxmlformats.org/spreadsheetml/2006/main" count="46" uniqueCount="41">
  <si>
    <t>Presupuesto inicial</t>
  </si>
  <si>
    <t>Presupuesto actual</t>
  </si>
  <si>
    <t>Costes actuales</t>
  </si>
  <si>
    <t>Costes hasta el final del proyecto</t>
  </si>
  <si>
    <t>Coste total esperado</t>
  </si>
  <si>
    <t>Cambio necesario en SAP</t>
  </si>
  <si>
    <t>Precio de venta</t>
  </si>
  <si>
    <t>Coste total de implementación</t>
  </si>
  <si>
    <t>CONTROL DE COSTES DEL PROYECTO — WINQUOTE01</t>
  </si>
  <si>
    <t>Partida / bloque de gasto</t>
  </si>
  <si>
    <t>Costes comprometidos (pedidos realizados no pagados)</t>
  </si>
  <si>
    <t>Explicación de los cambios</t>
  </si>
  <si>
    <t>Observaciones</t>
  </si>
  <si>
    <t>No aplica</t>
  </si>
  <si>
    <t>Estimación referencial de venta; no corresponde a un costo.</t>
  </si>
  <si>
    <t>Validar con contrato o cotización comercial.</t>
  </si>
  <si>
    <t>Estimación aproximada basada en avance, compromisos y trabajo pendiente.</t>
  </si>
  <si>
    <t>Total de los bloques de implementación.</t>
  </si>
  <si>
    <t>Desarrollo de la solución Winquote</t>
  </si>
  <si>
    <t>Estimación aproximada del desarrollo Android, backend y proxy/BFF.</t>
  </si>
  <si>
    <t>Suma de las partidas 1.1 y 1.2.</t>
  </si>
  <si>
    <t>Aplicación Android nativa</t>
  </si>
  <si>
    <t>Estimación aproximada de ejecución, integración y pruebas.</t>
  </si>
  <si>
    <t>No reemplaza horas ni facturas reales.</t>
  </si>
  <si>
    <t>Backend Django y proxy/BFF</t>
  </si>
  <si>
    <t>Estimación aproximada de API, permisos, cotizaciones, auditoría y archivos.</t>
  </si>
  <si>
    <t>Infraestructura y servicios tecnológicos</t>
  </si>
  <si>
    <t>Estimación aproximada de alojamiento, despliegue, comunicación y dominio.</t>
  </si>
  <si>
    <t>Suma de las partidas 2.1 y 2.2.</t>
  </si>
  <si>
    <t>Ambiente de alojamiento y despliegue</t>
  </si>
  <si>
    <t>Estimación aproximada del ambiente, servidor, respaldos y monitoreo.</t>
  </si>
  <si>
    <t>Validar con cotizaciones del proveedor.</t>
  </si>
  <si>
    <t>Servicios de comunicación y dominio</t>
  </si>
  <si>
    <t>Estimación aproximada de correo, dominio y notificaciones.</t>
  </si>
  <si>
    <t>Validar servicios finalmente contratados.</t>
  </si>
  <si>
    <t>Implementación, capacitación y puesta en marcha</t>
  </si>
  <si>
    <t>Estimación aproximada de pruebas, documentación, capacitación y transferencia.</t>
  </si>
  <si>
    <t>Suma de la partida 3.1.</t>
  </si>
  <si>
    <t>Pruebas, documentación y capacitación</t>
  </si>
  <si>
    <t>Estimación aproximada de pruebas finales, manuales, actas y capacitación.</t>
  </si>
  <si>
    <t>Validar con el plan de aceptación.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</si>
</sst>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5" formatCode="\$#,##0;[Red]\-\$#,##0;\–"/>
    <numFmt numFmtId="166" formatCode="_-* #,##0.00\ _€_-;\-* #,##0.00\ _€_-;_-* &quot;-&quot;??\ _€_-;_-@_-"/>
    <numFmt numFmtId="167" formatCode="_-* #,##0.00\ &quot;€&quot;_-;\-* #,##0.00\ &quot;€&quot;_-;_-* &quot;-&quot;??\ &quot;€&quot;_-;_-@_-"/>
  </numFmts>
  <fonts count="16">
    <font>
      <sz val="10"/>
      <name val="Arial"/>
    </font>
    <font>
      <sz val="11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rgb="FF9C0006"/>
      <name val="Arial"/>
      <family val="2"/>
    </font>
    <font>
      <sz val="12"/>
      <name val="Courier"/>
      <family val="3"/>
    </font>
    <font>
      <sz val="10"/>
      <name val="Helv"/>
    </font>
    <font>
      <sz val="11"/>
      <color theme="1"/>
      <name val="Arial"/>
      <family val="2"/>
      <charset val="238"/>
    </font>
    <font>
      <sz val="11"/>
      <color indexed="8"/>
      <name val="Calibri"/>
      <family val="2"/>
    </font>
    <font>
      <u/>
      <sz val="9"/>
      <color indexed="12"/>
      <name val="Helv"/>
    </font>
    <font>
      <sz val="11"/>
      <color theme="1"/>
      <name val="Calibri"/>
      <family val="2"/>
      <scheme val="minor"/>
    </font>
    <font>
      <sz val="10"/>
      <name val="Geneva"/>
    </font>
    <font>
      <b/>
      <sz val="15"/>
      <color rgb="FFFFFFFF"/>
      <name val="Arial"/>
    </font>
    <font>
      <b/>
      <sz val="10"/>
      <color rgb="FFFFFFFF"/>
      <name val="Arial"/>
    </font>
    <font>
      <b/>
      <sz val="10"/>
      <color rgb="FF1F1F1F"/>
      <name val="Arial"/>
    </font>
    <font>
      <sz val="10"/>
      <name val="Arial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</borders>
  <cellStyleXfs count="56">
    <xf numFmtId="0" fontId="0" fillId="0" borderId="0"/>
    <xf numFmtId="0" fontId="2" fillId="0" borderId="0"/>
    <xf numFmtId="0" fontId="4" fillId="3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1"/>
    <xf numFmtId="0" fontId="2" fillId="2" borderId="0"/>
    <xf numFmtId="0" fontId="1" fillId="0" borderId="0"/>
    <xf numFmtId="0" fontId="1" fillId="0" borderId="0"/>
    <xf numFmtId="0" fontId="1" fillId="4" borderId="2"/>
    <xf numFmtId="0" fontId="1" fillId="0" borderId="0"/>
    <xf numFmtId="0" fontId="1" fillId="4" borderId="2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11" borderId="0"/>
    <xf numFmtId="0" fontId="1" fillId="12" borderId="0"/>
    <xf numFmtId="0" fontId="1" fillId="13" borderId="0"/>
    <xf numFmtId="0" fontId="1" fillId="14" borderId="0"/>
    <xf numFmtId="0" fontId="1" fillId="15" borderId="0"/>
    <xf numFmtId="0" fontId="1" fillId="16" borderId="0"/>
    <xf numFmtId="0" fontId="1" fillId="17" borderId="0"/>
    <xf numFmtId="0" fontId="1" fillId="18" borderId="0"/>
    <xf numFmtId="0" fontId="1" fillId="19" borderId="0"/>
    <xf numFmtId="0" fontId="1" fillId="20" borderId="0"/>
    <xf numFmtId="0" fontId="1" fillId="21" borderId="0"/>
    <xf numFmtId="0" fontId="1" fillId="22" borderId="0"/>
    <xf numFmtId="0" fontId="1" fillId="0" borderId="0"/>
    <xf numFmtId="166" fontId="1" fillId="0" borderId="0"/>
    <xf numFmtId="9" fontId="1" fillId="0" borderId="0"/>
    <xf numFmtId="0" fontId="9" fillId="0" borderId="0">
      <alignment vertical="top"/>
      <protection locked="0"/>
    </xf>
    <xf numFmtId="0" fontId="6" fillId="0" borderId="0"/>
    <xf numFmtId="166" fontId="8" fillId="0" borderId="0"/>
    <xf numFmtId="0" fontId="10" fillId="0" borderId="0"/>
    <xf numFmtId="9" fontId="6" fillId="0" borderId="0"/>
    <xf numFmtId="9" fontId="8" fillId="0" borderId="0"/>
    <xf numFmtId="0" fontId="7" fillId="0" borderId="0"/>
    <xf numFmtId="166" fontId="6" fillId="0" borderId="0"/>
    <xf numFmtId="0" fontId="1" fillId="0" borderId="0"/>
    <xf numFmtId="0" fontId="3" fillId="0" borderId="0"/>
    <xf numFmtId="0" fontId="2" fillId="0" borderId="0"/>
    <xf numFmtId="0" fontId="2" fillId="0" borderId="0"/>
    <xf numFmtId="167" fontId="6" fillId="0" borderId="0"/>
    <xf numFmtId="0" fontId="1" fillId="0" borderId="0"/>
    <xf numFmtId="0" fontId="11" fillId="0" borderId="0"/>
    <xf numFmtId="166" fontId="6" fillId="0" borderId="0"/>
    <xf numFmtId="167" fontId="6" fillId="0" borderId="0"/>
    <xf numFmtId="0" fontId="6" fillId="0" borderId="0"/>
    <xf numFmtId="9" fontId="6" fillId="0" borderId="0"/>
    <xf numFmtId="42" fontId="15" fillId="0" borderId="0" applyFont="0" applyFill="0" applyBorder="0" applyAlignment="0" applyProtection="0"/>
  </cellStyleXfs>
  <cellXfs count="12">
    <xf numFmtId="0" fontId="0" fillId="0" borderId="0" xfId="0"/>
    <xf numFmtId="0" fontId="13" fillId="23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0" fillId="25" borderId="3" xfId="0" applyFill="1" applyBorder="1" applyAlignment="1">
      <alignment vertical="top" wrapText="1"/>
    </xf>
    <xf numFmtId="0" fontId="14" fillId="24" borderId="3" xfId="0" applyFont="1" applyFill="1" applyBorder="1" applyAlignment="1">
      <alignment vertical="top" wrapText="1"/>
    </xf>
    <xf numFmtId="165" fontId="14" fillId="24" borderId="3" xfId="0" applyNumberFormat="1" applyFont="1" applyFill="1" applyBorder="1" applyAlignment="1">
      <alignment horizontal="right" vertical="top"/>
    </xf>
    <xf numFmtId="165" fontId="0" fillId="0" borderId="3" xfId="0" applyNumberFormat="1" applyBorder="1" applyAlignment="1">
      <alignment horizontal="right" vertical="top"/>
    </xf>
    <xf numFmtId="165" fontId="0" fillId="25" borderId="3" xfId="0" applyNumberFormat="1" applyFill="1" applyBorder="1" applyAlignment="1">
      <alignment horizontal="right" vertical="top"/>
    </xf>
    <xf numFmtId="165" fontId="14" fillId="25" borderId="3" xfId="0" applyNumberFormat="1" applyFont="1" applyFill="1" applyBorder="1" applyAlignment="1">
      <alignment horizontal="right" vertical="top"/>
    </xf>
    <xf numFmtId="0" fontId="0" fillId="0" borderId="0" xfId="0"/>
    <xf numFmtId="0" fontId="12" fillId="23" borderId="0" xfId="0" applyFont="1" applyFill="1" applyAlignment="1">
      <alignment horizontal="center" vertical="center"/>
    </xf>
    <xf numFmtId="42" fontId="14" fillId="25" borderId="3" xfId="55" applyFont="1" applyFill="1" applyBorder="1" applyAlignment="1">
      <alignment vertical="top" wrapText="1"/>
    </xf>
  </cellXfs>
  <cellStyles count="56">
    <cellStyle name="20% - Accent1 2" xfId="15" xr:uid="{00000000-0005-0000-0000-000037000000}"/>
    <cellStyle name="20% - Accent2 2" xfId="18" xr:uid="{00000000-0005-0000-0000-00003A000000}"/>
    <cellStyle name="20% - Accent3 2" xfId="21" xr:uid="{00000000-0005-0000-0000-00003D000000}"/>
    <cellStyle name="20% - Accent4 2" xfId="24" xr:uid="{00000000-0005-0000-0000-000040000000}"/>
    <cellStyle name="20% - Accent5 2" xfId="27" xr:uid="{00000000-0005-0000-0000-000043000000}"/>
    <cellStyle name="20% - Accent6 2" xfId="30" xr:uid="{00000000-0005-0000-0000-000046000000}"/>
    <cellStyle name="40% - Accent1 2" xfId="16" xr:uid="{00000000-0005-0000-0000-000038000000}"/>
    <cellStyle name="40% - Accent2 2" xfId="19" xr:uid="{00000000-0005-0000-0000-00003B000000}"/>
    <cellStyle name="40% - Accent3 2" xfId="22" xr:uid="{00000000-0005-0000-0000-00003E000000}"/>
    <cellStyle name="40% - Accent4 2" xfId="25" xr:uid="{00000000-0005-0000-0000-000041000000}"/>
    <cellStyle name="40% - Accent5 2" xfId="28" xr:uid="{00000000-0005-0000-0000-000044000000}"/>
    <cellStyle name="40% - Accent6 2" xfId="31" xr:uid="{00000000-0005-0000-0000-000047000000}"/>
    <cellStyle name="60% - Accent1 2" xfId="17" xr:uid="{00000000-0005-0000-0000-000039000000}"/>
    <cellStyle name="60% - Accent2 2" xfId="20" xr:uid="{00000000-0005-0000-0000-00003C000000}"/>
    <cellStyle name="60% - Accent3 2" xfId="23" xr:uid="{00000000-0005-0000-0000-00003F000000}"/>
    <cellStyle name="60% - Accent4 2" xfId="26" xr:uid="{00000000-0005-0000-0000-000042000000}"/>
    <cellStyle name="60% - Accent5 2" xfId="29" xr:uid="{00000000-0005-0000-0000-000045000000}"/>
    <cellStyle name="60% - Accent6 2" xfId="32" xr:uid="{00000000-0005-0000-0000-000048000000}"/>
    <cellStyle name="Comma 2" xfId="34" xr:uid="{00000000-0005-0000-0000-00004A000000}"/>
    <cellStyle name="Comma 2 2" xfId="38" xr:uid="{00000000-0005-0000-0000-00004E000000}"/>
    <cellStyle name="Comma 3" xfId="51" xr:uid="{00000000-0005-0000-0000-00005B000000}"/>
    <cellStyle name="Comma 4" xfId="43" xr:uid="{00000000-0005-0000-0000-000053000000}"/>
    <cellStyle name="Currency 2" xfId="52" xr:uid="{00000000-0005-0000-0000-00005C000000}"/>
    <cellStyle name="Currency 3" xfId="48" xr:uid="{00000000-0005-0000-0000-000058000000}"/>
    <cellStyle name="Dålig 2" xfId="2" xr:uid="{00000000-0005-0000-0000-000002000000}"/>
    <cellStyle name="Hyperlink 2" xfId="36" xr:uid="{00000000-0005-0000-0000-00004C000000}"/>
    <cellStyle name="kg" xfId="8" xr:uid="{00000000-0005-0000-0000-000008000000}"/>
    <cellStyle name="Moneda [0]" xfId="55" builtinId="7"/>
    <cellStyle name="Normal" xfId="0" builtinId="0"/>
    <cellStyle name="Normal 10" xfId="13" xr:uid="{00000000-0005-0000-0000-000035000000}"/>
    <cellStyle name="Normal 11" xfId="33" xr:uid="{00000000-0005-0000-0000-000049000000}"/>
    <cellStyle name="Normal 12" xfId="37" xr:uid="{00000000-0005-0000-0000-00004D000000}"/>
    <cellStyle name="Normal 2" xfId="1" xr:uid="{00000000-0005-0000-0000-000001000000}"/>
    <cellStyle name="Normal 2 2" xfId="50" xr:uid="{00000000-0005-0000-0000-00005A000000}"/>
    <cellStyle name="Normal 2 3" xfId="39" xr:uid="{00000000-0005-0000-0000-00004F000000}"/>
    <cellStyle name="Normal 3" xfId="3" xr:uid="{00000000-0005-0000-0000-000003000000}"/>
    <cellStyle name="Normal 3 2" xfId="42" xr:uid="{00000000-0005-0000-0000-000052000000}"/>
    <cellStyle name="Normal 4" xfId="4" xr:uid="{00000000-0005-0000-0000-000004000000}"/>
    <cellStyle name="Normal 4 2" xfId="44" xr:uid="{00000000-0005-0000-0000-000054000000}"/>
    <cellStyle name="Normal 5" xfId="5" xr:uid="{00000000-0005-0000-0000-000005000000}"/>
    <cellStyle name="Normal 5 2" xfId="45" xr:uid="{00000000-0005-0000-0000-000055000000}"/>
    <cellStyle name="Normal 6" xfId="6" xr:uid="{00000000-0005-0000-0000-000006000000}"/>
    <cellStyle name="Normal 6 2" xfId="10" xr:uid="{00000000-0005-0000-0000-00000A000000}"/>
    <cellStyle name="Normal 6 3" xfId="46" xr:uid="{00000000-0005-0000-0000-000056000000}"/>
    <cellStyle name="Normal 7" xfId="7" xr:uid="{00000000-0005-0000-0000-000007000000}"/>
    <cellStyle name="Normal 7 2" xfId="47" xr:uid="{00000000-0005-0000-0000-000057000000}"/>
    <cellStyle name="Normal 8" xfId="9" xr:uid="{00000000-0005-0000-0000-000009000000}"/>
    <cellStyle name="Normal 8 2" xfId="49" xr:uid="{00000000-0005-0000-0000-000059000000}"/>
    <cellStyle name="Normal 9" xfId="11" xr:uid="{00000000-0005-0000-0000-000033000000}"/>
    <cellStyle name="Normal 9 2" xfId="53" xr:uid="{00000000-0005-0000-0000-00005D000000}"/>
    <cellStyle name="Note 2" xfId="12" xr:uid="{00000000-0005-0000-0000-000034000000}"/>
    <cellStyle name="Note 3" xfId="14" xr:uid="{00000000-0005-0000-0000-000036000000}"/>
    <cellStyle name="Percent 2" xfId="35" xr:uid="{00000000-0005-0000-0000-00004B000000}"/>
    <cellStyle name="Percent 2 2" xfId="41" xr:uid="{00000000-0005-0000-0000-000051000000}"/>
    <cellStyle name="Percent 3" xfId="54" xr:uid="{00000000-0005-0000-0000-00005E000000}"/>
    <cellStyle name="Percent 4" xfId="40" xr:uid="{00000000-0005-0000-0000-00005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7"/>
  <sheetViews>
    <sheetView showGridLines="0" tabSelected="1" workbookViewId="0">
      <pane ySplit="2" topLeftCell="A3" activePane="bottomLeft" state="frozen"/>
      <selection pane="bottomLeft" sqref="A1:J1"/>
    </sheetView>
  </sheetViews>
  <sheetFormatPr baseColWidth="10" defaultColWidth="8.88671875" defaultRowHeight="13.2"/>
  <cols>
    <col min="1" max="1" width="38" customWidth="1"/>
    <col min="2" max="3" width="16" customWidth="1"/>
    <col min="4" max="4" width="15" customWidth="1"/>
    <col min="5" max="5" width="20" customWidth="1"/>
    <col min="6" max="8" width="18" customWidth="1"/>
    <col min="9" max="9" width="34" customWidth="1"/>
    <col min="10" max="10" width="36" customWidth="1"/>
  </cols>
  <sheetData>
    <row r="1" spans="1:10" ht="28.05" customHeight="1">
      <c r="A1" s="10" t="s">
        <v>8</v>
      </c>
      <c r="B1" s="9"/>
      <c r="C1" s="9"/>
      <c r="D1" s="9"/>
      <c r="E1" s="9"/>
      <c r="F1" s="9"/>
      <c r="G1" s="9"/>
      <c r="H1" s="9"/>
      <c r="I1" s="9"/>
      <c r="J1" s="9"/>
    </row>
    <row r="2" spans="1:10" ht="58.05" customHeight="1">
      <c r="A2" s="1" t="s">
        <v>9</v>
      </c>
      <c r="B2" s="1" t="s">
        <v>0</v>
      </c>
      <c r="C2" s="1" t="s">
        <v>1</v>
      </c>
      <c r="D2" s="1" t="s">
        <v>2</v>
      </c>
      <c r="E2" s="1" t="s">
        <v>10</v>
      </c>
      <c r="F2" s="1" t="s">
        <v>3</v>
      </c>
      <c r="G2" s="1" t="s">
        <v>4</v>
      </c>
      <c r="H2" s="1" t="s">
        <v>5</v>
      </c>
      <c r="I2" s="1" t="s">
        <v>11</v>
      </c>
      <c r="J2" s="1" t="s">
        <v>12</v>
      </c>
    </row>
    <row r="3" spans="1:10" ht="42" customHeight="1">
      <c r="A3" s="2" t="s">
        <v>6</v>
      </c>
      <c r="B3" s="6">
        <v>7200000</v>
      </c>
      <c r="C3" s="7">
        <v>7200000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2" t="s">
        <v>14</v>
      </c>
      <c r="J3" s="2" t="s">
        <v>15</v>
      </c>
    </row>
    <row r="4" spans="1:10" ht="42" customHeight="1">
      <c r="A4" s="4" t="s">
        <v>7</v>
      </c>
      <c r="B4" s="5">
        <v>6000000</v>
      </c>
      <c r="C4" s="8">
        <v>6100000</v>
      </c>
      <c r="D4" s="8">
        <v>2400000</v>
      </c>
      <c r="E4" s="8">
        <v>1600000</v>
      </c>
      <c r="F4" s="8">
        <v>2500000</v>
      </c>
      <c r="G4" s="11">
        <f t="shared" ref="G4:G12" si="0">D4+E4+F4</f>
        <v>6500000</v>
      </c>
      <c r="H4" s="11">
        <f t="shared" ref="H4:H12" si="1">G4-C4</f>
        <v>400000</v>
      </c>
      <c r="I4" s="4" t="s">
        <v>16</v>
      </c>
      <c r="J4" s="4" t="s">
        <v>17</v>
      </c>
    </row>
    <row r="5" spans="1:10" ht="42" customHeight="1">
      <c r="A5" s="4" t="s">
        <v>18</v>
      </c>
      <c r="B5" s="5">
        <v>4700000</v>
      </c>
      <c r="C5" s="8">
        <v>4800000</v>
      </c>
      <c r="D5" s="8">
        <v>1900000</v>
      </c>
      <c r="E5" s="8">
        <v>1300000</v>
      </c>
      <c r="F5" s="8">
        <v>1900000</v>
      </c>
      <c r="G5" s="11">
        <f t="shared" si="0"/>
        <v>5100000</v>
      </c>
      <c r="H5" s="11">
        <f t="shared" si="1"/>
        <v>300000</v>
      </c>
      <c r="I5" s="4" t="s">
        <v>19</v>
      </c>
      <c r="J5" s="4" t="s">
        <v>20</v>
      </c>
    </row>
    <row r="6" spans="1:10" ht="42" customHeight="1">
      <c r="A6" s="2" t="s">
        <v>21</v>
      </c>
      <c r="B6" s="6">
        <v>2500000</v>
      </c>
      <c r="C6" s="7">
        <v>2550000</v>
      </c>
      <c r="D6" s="7">
        <v>1100000</v>
      </c>
      <c r="E6" s="7">
        <v>700000</v>
      </c>
      <c r="F6" s="7">
        <v>850000</v>
      </c>
      <c r="G6" s="11">
        <f t="shared" si="0"/>
        <v>2650000</v>
      </c>
      <c r="H6" s="11">
        <f t="shared" si="1"/>
        <v>100000</v>
      </c>
      <c r="I6" s="2" t="s">
        <v>22</v>
      </c>
      <c r="J6" s="2" t="s">
        <v>23</v>
      </c>
    </row>
    <row r="7" spans="1:10" ht="42" customHeight="1">
      <c r="A7" s="2" t="s">
        <v>24</v>
      </c>
      <c r="B7" s="6">
        <v>2200000</v>
      </c>
      <c r="C7" s="7">
        <v>2250000</v>
      </c>
      <c r="D7" s="7">
        <v>800000</v>
      </c>
      <c r="E7" s="7">
        <v>600000</v>
      </c>
      <c r="F7" s="7">
        <v>1050000</v>
      </c>
      <c r="G7" s="11">
        <f t="shared" si="0"/>
        <v>2450000</v>
      </c>
      <c r="H7" s="11">
        <f t="shared" si="1"/>
        <v>200000</v>
      </c>
      <c r="I7" s="2" t="s">
        <v>25</v>
      </c>
      <c r="J7" s="2" t="s">
        <v>23</v>
      </c>
    </row>
    <row r="8" spans="1:10" ht="42" customHeight="1">
      <c r="A8" s="4" t="s">
        <v>26</v>
      </c>
      <c r="B8" s="5">
        <v>700000</v>
      </c>
      <c r="C8" s="8">
        <v>720000</v>
      </c>
      <c r="D8" s="8">
        <v>250000</v>
      </c>
      <c r="E8" s="8">
        <v>200000</v>
      </c>
      <c r="F8" s="8">
        <v>350000</v>
      </c>
      <c r="G8" s="11">
        <f t="shared" si="0"/>
        <v>800000</v>
      </c>
      <c r="H8" s="11">
        <f t="shared" si="1"/>
        <v>80000</v>
      </c>
      <c r="I8" s="4" t="s">
        <v>27</v>
      </c>
      <c r="J8" s="4" t="s">
        <v>28</v>
      </c>
    </row>
    <row r="9" spans="1:10" ht="42" customHeight="1">
      <c r="A9" s="2" t="s">
        <v>29</v>
      </c>
      <c r="B9" s="6">
        <v>450000</v>
      </c>
      <c r="C9" s="7">
        <v>460000</v>
      </c>
      <c r="D9" s="7">
        <v>150000</v>
      </c>
      <c r="E9" s="7">
        <v>150000</v>
      </c>
      <c r="F9" s="7">
        <v>200000</v>
      </c>
      <c r="G9" s="11">
        <f t="shared" si="0"/>
        <v>500000</v>
      </c>
      <c r="H9" s="11">
        <f t="shared" si="1"/>
        <v>40000</v>
      </c>
      <c r="I9" s="2" t="s">
        <v>30</v>
      </c>
      <c r="J9" s="2" t="s">
        <v>31</v>
      </c>
    </row>
    <row r="10" spans="1:10" ht="42" customHeight="1">
      <c r="A10" s="2" t="s">
        <v>32</v>
      </c>
      <c r="B10" s="6">
        <v>250000</v>
      </c>
      <c r="C10" s="7">
        <v>260000</v>
      </c>
      <c r="D10" s="7">
        <v>100000</v>
      </c>
      <c r="E10" s="7">
        <v>50000</v>
      </c>
      <c r="F10" s="7">
        <v>150000</v>
      </c>
      <c r="G10" s="11">
        <f t="shared" si="0"/>
        <v>300000</v>
      </c>
      <c r="H10" s="11">
        <f t="shared" si="1"/>
        <v>40000</v>
      </c>
      <c r="I10" s="2" t="s">
        <v>33</v>
      </c>
      <c r="J10" s="2" t="s">
        <v>34</v>
      </c>
    </row>
    <row r="11" spans="1:10" ht="42" customHeight="1">
      <c r="A11" s="4" t="s">
        <v>35</v>
      </c>
      <c r="B11" s="5">
        <v>600000</v>
      </c>
      <c r="C11" s="8">
        <v>580000</v>
      </c>
      <c r="D11" s="8">
        <v>250000</v>
      </c>
      <c r="E11" s="8">
        <v>100000</v>
      </c>
      <c r="F11" s="8">
        <v>250000</v>
      </c>
      <c r="G11" s="11">
        <f t="shared" si="0"/>
        <v>600000</v>
      </c>
      <c r="H11" s="11">
        <f t="shared" si="1"/>
        <v>20000</v>
      </c>
      <c r="I11" s="4" t="s">
        <v>36</v>
      </c>
      <c r="J11" s="4" t="s">
        <v>37</v>
      </c>
    </row>
    <row r="12" spans="1:10" ht="42" customHeight="1">
      <c r="A12" s="2" t="s">
        <v>38</v>
      </c>
      <c r="B12" s="6">
        <v>600000</v>
      </c>
      <c r="C12" s="7">
        <v>580000</v>
      </c>
      <c r="D12" s="7">
        <v>250000</v>
      </c>
      <c r="E12" s="7">
        <v>100000</v>
      </c>
      <c r="F12" s="7">
        <v>250000</v>
      </c>
      <c r="G12" s="11">
        <f t="shared" si="0"/>
        <v>600000</v>
      </c>
      <c r="H12" s="11">
        <f t="shared" si="1"/>
        <v>20000</v>
      </c>
      <c r="I12" s="2" t="s">
        <v>39</v>
      </c>
      <c r="J12" s="2" t="s">
        <v>40</v>
      </c>
    </row>
    <row r="13" spans="1:10" ht="24" customHeight="1"/>
    <row r="14" spans="1:10" ht="34.049999999999997" customHeight="1"/>
    <row r="15" spans="1:10" ht="37.950000000000003" customHeight="1"/>
    <row r="16" spans="1:10" ht="37.950000000000003" customHeight="1"/>
    <row r="17" ht="37.950000000000003" customHeight="1"/>
  </sheetData>
  <autoFilter ref="A2:J12" xr:uid="{00000000-0009-0000-0000-000002000000}"/>
  <mergeCells count="1">
    <mergeCell ref="A1:J1"/>
  </mergeCells>
  <pageMargins left="0.75" right="0.75" top="1" bottom="1" header="0.5" footer="0.5"/>
  <pageSetup orientation="landscape"/>
  <headerFooter>
    <oddFooter>&amp;CWinquote01 — Control de costes basado en la plantilla de ejemplo&amp;RPágina &amp;P de 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Control Winquote01</vt:lpstr>
      <vt:lpstr>'Control Winquote01'!Área_de_impresión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Carriel Galaz</cp:lastModifiedBy>
  <dcterms:created xsi:type="dcterms:W3CDTF">2019-02-20T13:42:08Z</dcterms:created>
  <dcterms:modified xsi:type="dcterms:W3CDTF">2026-10-02T18:37:58Z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339dd7-e0cb-43aa-a61d-fed1619267bf_Enabled">
    <vt:lpwstr>True</vt:lpwstr>
  </property>
  <property fmtid="{D5CDD505-2E9C-101B-9397-08002B2CF9AE}" pid="3" name="MSIP_Label_b5339dd7-e0cb-43aa-a61d-fed1619267bf_SiteId">
    <vt:lpwstr>d2d2794a-61cc-4823-9690-8e288fd554cc</vt:lpwstr>
  </property>
  <property fmtid="{D5CDD505-2E9C-101B-9397-08002B2CF9AE}" pid="4" name="MSIP_Label_b5339dd7-e0cb-43aa-a61d-fed1619267bf_Owner">
    <vt:lpwstr>DEVELAF@tetrapak.com</vt:lpwstr>
  </property>
  <property fmtid="{D5CDD505-2E9C-101B-9397-08002B2CF9AE}" pid="5" name="MSIP_Label_b5339dd7-e0cb-43aa-a61d-fed1619267bf_SetDate">
    <vt:lpwstr>2019-02-20T13:42:31.2515366Z</vt:lpwstr>
  </property>
  <property fmtid="{D5CDD505-2E9C-101B-9397-08002B2CF9AE}" pid="6" name="MSIP_Label_b5339dd7-e0cb-43aa-a61d-fed1619267bf_Name">
    <vt:lpwstr>Public</vt:lpwstr>
  </property>
  <property fmtid="{D5CDD505-2E9C-101B-9397-08002B2CF9AE}" pid="7" name="MSIP_Label_b5339dd7-e0cb-43aa-a61d-fed1619267bf_Application">
    <vt:lpwstr>Microsoft Azure Information Protection</vt:lpwstr>
  </property>
  <property fmtid="{D5CDD505-2E9C-101B-9397-08002B2CF9AE}" pid="8" name="MSIP_Label_b5339dd7-e0cb-43aa-a61d-fed1619267bf_Extended_MSFT_Method">
    <vt:lpwstr>Manual</vt:lpwstr>
  </property>
  <property fmtid="{D5CDD505-2E9C-101B-9397-08002B2CF9AE}" pid="9" name="Sensitivity">
    <vt:lpwstr>Public</vt:lpwstr>
  </property>
  <property fmtid="{D5CDD505-2E9C-101B-9397-08002B2CF9AE}" pid="10" name="ContentTypeId">
    <vt:lpwstr>0x0101000DE189D277BD07488664EE36F8B6CA3B</vt:lpwstr>
  </property>
</Properties>
</file>