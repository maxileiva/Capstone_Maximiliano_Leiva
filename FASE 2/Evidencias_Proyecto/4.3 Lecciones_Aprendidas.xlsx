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cciones Aprendidas" sheetId="1" state="visible" r:id="rId3"/>
    <sheet name="Instructivo" sheetId="2" state="visible" r:id="rId4"/>
    <sheet name="Ejemplo" sheetId="3" state="visible" r:id="rId5"/>
  </sheets>
  <definedNames>
    <definedName function="false" hidden="false" localSheetId="0" name="_xlnm.Print_Area" vbProcedure="false">'Lecciones Aprendidas'!$A$1:$K$15</definedName>
    <definedName function="false" hidden="false" localSheetId="0" name="_xlnm.Print_Titles" vbProcedure="false">'Lecciones Aprendidas'!$4:$4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<sst xmlns="http://schemas.openxmlformats.org/spreadsheetml/2006/main" count="161" uniqueCount="114">
  <si>
    <t xml:space="preserve">Registro de lecciones aprendidas</t>
  </si>
  <si>
    <t xml:space="preserve">Elaborado por: Maximiliano Leiva y Martín Carriel · Cotizadora Web – Ventanas y Aluminios Manuel Arellano</t>
  </si>
  <si>
    <t xml:space="preserve">Nro. De Referencia</t>
  </si>
  <si>
    <t xml:space="preserve">Código de Proyecto</t>
  </si>
  <si>
    <t xml:space="preserve">Nombre del Proyecto</t>
  </si>
  <si>
    <t xml:space="preserve">Área / Categoría</t>
  </si>
  <si>
    <t xml:space="preserve">Fecha</t>
  </si>
  <si>
    <t xml:space="preserve">Amenaza / Oportunidad</t>
  </si>
  <si>
    <t xml:space="preserve">Título</t>
  </si>
  <si>
    <t xml:space="preserve">Descripción de la Situación</t>
  </si>
  <si>
    <t xml:space="preserve">Descripción del Impacto en los objetivos del proyecto</t>
  </si>
  <si>
    <t xml:space="preserve">Acciones Correctivas y Preventivas Implementadas</t>
  </si>
  <si>
    <t xml:space="preserve">Lección Aprendida / Recomendaciones</t>
  </si>
  <si>
    <t xml:space="preserve">LA-01</t>
  </si>
  <si>
    <t xml:space="preserve">APT-PTY4614-2026</t>
  </si>
  <si>
    <t xml:space="preserve">Cotizadora Web – Ventanas y Aluminios Manuel Arellano</t>
  </si>
  <si>
    <t xml:space="preserve">Gestión de Requerimientos</t>
  </si>
  <si>
    <t xml:space="preserve">Amenaza</t>
  </si>
  <si>
    <t xml:space="preserve">Reglas de cálculo no documentadas por la empresa</t>
  </si>
  <si>
    <t xml:space="preserve">La planilla de precios de Manuel Arellano indicaba «1 m² = $65.000, 2 m² = $260.000, 3 m² = $585.000», lo que a primera vista no era lineal. El cálculo existía solo en la experiencia del dueño.</t>
  </si>
  <si>
    <t xml:space="preserve">Riesgo de construir un motor de cotización con precios incorrectos y de rehacer el módulo.</t>
  </si>
  <si>
    <t xml:space="preserve">Se interpretó la tabla como ventanas de 2 × 2 m y 3 × 3 m (ancho × alto × precio por m²) y se confirmó con Manuel Arellano antes de programar. El motor se validó contra casos reales.</t>
  </si>
  <si>
    <t xml:space="preserve">Levantar las reglas de negocio a partir de casos reales y confirmarlas por escrito con el cliente antes de codificarlas. Toda ambigüedad se pregunta, no se supone.</t>
  </si>
  <si>
    <t xml:space="preserve">LA-02</t>
  </si>
  <si>
    <t xml:space="preserve">Precios netos o con IVA sin aclarar</t>
  </si>
  <si>
    <t xml:space="preserve">Los precios por m² entregados por la empresa no indicaban si incluían IVA; los documentos iniciales los trataban de forma ambigua.</t>
  </si>
  <si>
    <t xml:space="preserve">Posible error del 19 % en todas las cotizaciones y documentos inconsistentes (REQ-5, REQ-11 y RN-01).</t>
  </si>
  <si>
    <t xml:space="preserve">Se confirmó que los valores son netos y que el IVA se suma aparte sobre productos y traslado. Se corrigieron los requerimientos y el motor.</t>
  </si>
  <si>
    <t xml:space="preserve">Todo monto que entregue el cliente debe registrarse indicando si es neto o bruto, moneda y unidad.</t>
  </si>
  <si>
    <t xml:space="preserve">LA-03</t>
  </si>
  <si>
    <t xml:space="preserve">Gestión de Cambios</t>
  </si>
  <si>
    <t xml:space="preserve">Oportunidad</t>
  </si>
  <si>
    <t xml:space="preserve">Cambio del anticipo del 50 % al pago total en línea</t>
  </si>
  <si>
    <t xml:space="preserve">Durante la Fase 2 la empresa pidió cobrar el 100 % por adelantado con Webpay y aprobar automáticamente las cotizaciones del sitio, en lugar del anticipo del 50 % definido en la Fase 1.</t>
  </si>
  <si>
    <t xml:space="preserve">Se amplió el alcance (pasarela de pago, cola de fabricación, reembolsos), pero el cliente puede cerrar la venta en línea sin intervención manual.</t>
  </si>
  <si>
    <t xml:space="preserve">El cambio se evaluó con el plan de gestión de cambios y se implementó dejando el porcentaje como parámetro editable (hoy 100 %), sin escribirlo en el código.</t>
  </si>
  <si>
    <t xml:space="preserve">Diseñar las reglas comerciales como parámetros configurables: un cambio de política del cliente se resuelve con un dato, no con un nuevo desarrollo.</t>
  </si>
  <si>
    <t xml:space="preserve">LA-04</t>
  </si>
  <si>
    <t xml:space="preserve">Gestión Documental</t>
  </si>
  <si>
    <t xml:space="preserve">Documentación desalineada con lo programado</t>
  </si>
  <si>
    <t xml:space="preserve">Al revisar el código se detectó que el Documento de Requerimientos y el Acta aún decían anticipo del 50 %, sin pago en línea, base PostgreSQL y catálogo con mosquiteros, lo que ya no era cierto.</t>
  </si>
  <si>
    <t xml:space="preserve">Riesgo de entregar documentos contradictorios en la evaluación y de validar con el cliente algo distinto de lo construido.</t>
  </si>
  <si>
    <t xml:space="preserve">Se actualizaron el Acta, el Plan de Dirección y el Documento de Requerimientos (v1.2, HU-01 a HU-13) a partir del código fuente.</t>
  </si>
  <si>
    <t xml:space="preserve">Actualizar y versionar los documentos al cierre de cada sprint, tomando el código como fuente de verdad.</t>
  </si>
  <si>
    <t xml:space="preserve">LA-05</t>
  </si>
  <si>
    <t xml:space="preserve">Planificación</t>
  </si>
  <si>
    <t xml:space="preserve">Duración del proyecto distinta entre documentos</t>
  </si>
  <si>
    <t xml:space="preserve">El Acta y el Plan de Dirección indicaban 15 semanas, mientras el flujo de caja se calculó con 18 semanas (306 horas por integrante).</t>
  </si>
  <si>
    <t xml:space="preserve">Inconsistencia en la valorización de horas y en el presupuesto entre documentos.</t>
  </si>
  <si>
    <t xml:space="preserve">Se confirmó la duración de 15 semanas (255 horas por integrante) y el presupuesto se calculó con ella.</t>
  </si>
  <si>
    <t xml:space="preserve">Definir los parámetros base del proyecto (duración, horas, valor hora) en un solo lugar y derivar de ahí todos los documentos.</t>
  </si>
  <si>
    <t xml:space="preserve">LA-06</t>
  </si>
  <si>
    <t xml:space="preserve">Seguridad</t>
  </si>
  <si>
    <t xml:space="preserve">Credenciales y base de datos en el repositorio</t>
  </si>
  <si>
    <t xml:space="preserve">Para trabajar desde dos computadores, el archivo .env (clave secreta, correo y claves de API) y la base SQLite se versionaron en el repositorio privado.</t>
  </si>
  <si>
    <t xml:space="preserve">Exposición de credenciales y datos personales si el repositorio se comparte o se filtra.</t>
  </si>
  <si>
    <t xml:space="preserve">El repositorio se mantiene privado y se definió una lista de tareas obligatorias antes del lanzamiento: cambiar claves, retirar .env y base del repositorio y cifrar datos sensibles.</t>
  </si>
  <si>
    <t xml:space="preserve">Nunca versionar secretos: usar .env.example como plantilla y un gestor de secretos o variables de entorno en el servidor desde el primer día.</t>
  </si>
  <si>
    <t xml:space="preserve">LA-07</t>
  </si>
  <si>
    <t xml:space="preserve">Gestión de Configuración</t>
  </si>
  <si>
    <t xml:space="preserve">Base SQLite trabajada en dos computadores</t>
  </si>
  <si>
    <t xml:space="preserve">La base de datos SQLite es un archivo binario; al modificarla en dos equipos a la vez, Git no puede fusionar los cambios.</t>
  </si>
  <si>
    <t xml:space="preserve">Riesgo de perder datos de prueba o sobrescribir el trabajo del otro integrante.</t>
  </si>
  <si>
    <t xml:space="preserve">Se acordó trabajar la base en un solo equipo a la vez y se crearon respaldos antes de cada limpieza de datos.</t>
  </si>
  <si>
    <t xml:space="preserve">Usar un motor de base de datos compartido (MySQL en un servidor de desarrollo) cuando más de una persona modifica datos.</t>
  </si>
  <si>
    <t xml:space="preserve">LA-08</t>
  </si>
  <si>
    <t xml:space="preserve">Calidad</t>
  </si>
  <si>
    <t xml:space="preserve">Pruebas automatizadas desde el inicio</t>
  </si>
  <si>
    <t xml:space="preserve">El backend se construyó junto a una batería de pruebas automáticas (386 a la fecha) que cubre el motor de cálculo, permisos por rol, pagos, agendas y reembolsos.</t>
  </si>
  <si>
    <t xml:space="preserve">Los cambios de la Fase 2 (pago total, reglas por producto, visita técnica) se incorporaron sin romper lo existente, reduciendo el retrabajo.</t>
  </si>
  <si>
    <t xml:space="preserve">Cada regla de negocio nueva se acompañó de sus pruebas; los servicios externos se simulan para no depender de internet.</t>
  </si>
  <si>
    <t xml:space="preserve">Escribir las pruebas junto con la funcionalidad, en especial para las reglas que tienen consecuencia económica.</t>
  </si>
  <si>
    <t xml:space="preserve">LA-09</t>
  </si>
  <si>
    <t xml:space="preserve">Arquitectura</t>
  </si>
  <si>
    <t xml:space="preserve">Cálculo y permisos solo en el servidor</t>
  </si>
  <si>
    <t xml:space="preserve">Se definió que el navegador nunca envía un total y que los permisos se aplican en la API, de modo que el técnico no recibe precios aunque use la misma interfaz.</t>
  </si>
  <si>
    <t xml:space="preserve">Mayor seguridad e integridad de los montos, y una API lista para que la app Kotlin la consuma sin duplicar reglas.</t>
  </si>
  <si>
    <t xml:space="preserve">Arquitectura desacoplada: frontend y app consumen la misma API REST; pruebas que verifican que el servidor recalcula aunque el cliente envíe otro valor.</t>
  </si>
  <si>
    <t xml:space="preserve">Mantener la lógica de negocio y la seguridad en el servidor; la interfaz solo muestra lo que el servidor entrega.</t>
  </si>
  <si>
    <t xml:space="preserve">LA-10</t>
  </si>
  <si>
    <t xml:space="preserve">Integraciones</t>
  </si>
  <si>
    <t xml:space="preserve">Proveedor de mapas con costo</t>
  </si>
  <si>
    <t xml:space="preserve">Google Maps exigía registrar un medio de pago para calcular distancias, lo que no era compatible con el presupuesto de desarrollo de $0.</t>
  </si>
  <si>
    <t xml:space="preserve">Riesgo de no poder calcular el traslado por kilómetro o de generar un costo no presupuestado.</t>
  </si>
  <si>
    <t xml:space="preserve">Se eligió Geoapify (plan gratuito diario) y se dejó una tabla de kilómetros por comuna como respaldo, consultando siempre a través del servidor.</t>
  </si>
  <si>
    <t xml:space="preserve">Evaluar costos y límites de cada servicio externo antes de integrarlo y dejar siempre una alternativa sin costo.</t>
  </si>
  <si>
    <t xml:space="preserve">LA-11</t>
  </si>
  <si>
    <t xml:space="preserve">Plantillas con errores de formato y fórmulas</t>
  </si>
  <si>
    <t xml:space="preserve">Algunas plantillas de la asignatura traían tablas flotantes que se superponían, tamaños de hoja no estándar y fórmulas que sumaban la columna equivocada (presupuesto siempre en $0).</t>
  </si>
  <si>
    <t xml:space="preserve">Documentos difíciles de leer y cifras incorrectas si no se revisan antes de entregar.</t>
  </si>
  <si>
    <t xml:space="preserve">Se corrigieron formatos (hoja carta, márgenes, Arial Narrow 12) y fórmulas, y se verificó cada documento renderizado antes de entregarlo.</t>
  </si>
  <si>
    <t xml:space="preserve">Revisar la plantilla antes de llenarla y verificar el resultado final (vista de impresión y cálculos).</t>
  </si>
  <si>
    <t xml:space="preserve">Registro de lecciones aprendidas: Instructivo</t>
  </si>
  <si>
    <t xml:space="preserve">Columna</t>
  </si>
  <si>
    <t xml:space="preserve">Instrucciones</t>
  </si>
  <si>
    <t xml:space="preserve">Numeración de la lección aprendida según formato acordado, identifica unívocamente a una lección aprendida.</t>
  </si>
  <si>
    <t xml:space="preserve">El código de proyecto en el que se identificó la lección aprendida.</t>
  </si>
  <si>
    <t xml:space="preserve">Nombre descriptivo del proyecto en el que se identificó la lección aprendida.</t>
  </si>
  <si>
    <t xml:space="preserve">Categorías en las que se clasificaran las lecciones aprendidas, por ejemplo, en un proyecto de Desarrollo de Software estás pueden ser Técnicas, Funcionales, Comunicación, Gestión de los implicados, entre otros; o por ejemplo podrían usarse las áreas de conocimiento de la Gestión de Proyecto, por ejemplo alcance, tiempo, calidad, comunicaciones, entre otros.</t>
  </si>
  <si>
    <t xml:space="preserve">Día, mes y año en que se presentó la situación descrita.</t>
  </si>
  <si>
    <t xml:space="preserve">Se indica si la lección aprendida está relacionado con un efecto adverso (amenaza) que debe evitarse en el futuro o está asociado con un efecto positivo en el proyecto (oportunidad) sobre el cual deben tomarse acciones para mantenerlo.</t>
  </si>
  <si>
    <t xml:space="preserve">Alusivo a la situación presentada.</t>
  </si>
  <si>
    <t xml:space="preserve">Describe los antecedentes y circunstancias que ocasionaron el asunto sujeto de la lección aprendida, siendo importante el identificar las causas raíz que ocasionaron la situación.</t>
  </si>
  <si>
    <t xml:space="preserve">Efecto que la situación planteada tuvo sobre los objetivos del proyecto, por ejemplo: Retraso en la fecha de entrega del proyecto (expresado en unidad de tiempo), incremento de los costos (expresado en unidad de esfuerzo), reducción de niveles de calidad, insatisfacción del cliente, entre otros. También puede reflejar impactos positivos, por ejemplo, se término la actividad antes de la fecha planificada, se ejecutó una actividad a una fracción del costo, entre otros. Es importante expresar el impacto en términos que se puedan medir.</t>
  </si>
  <si>
    <t xml:space="preserve">Enumerar las acciones correctivas implementadas para reducir o mejorar los efectos de la situación (dependiendo si son amenazas u oportunidades) y acciones preventivas para reducir o incrementar la probabilidad que se vuelvan a presentar en el futuro.</t>
  </si>
  <si>
    <t xml:space="preserve">Resume las acciones y estrategias a adoptar en el futuro para evitar que se presente nuevamente la amenaza o para aprovechar la oportunidad (si es una lección de impacto positivo). Se construye a partir de las experiencias de las acciones tomadas para corregir la situación.</t>
  </si>
  <si>
    <t xml:space="preserve">Registro de lecciones aprendidas: Ejemplo</t>
  </si>
  <si>
    <t xml:space="preserve">XXXX-XXXX-XX</t>
  </si>
  <si>
    <t xml:space="preserve">Desarrollo de Sistema para Gestión de Lecciones aprendidas</t>
  </si>
  <si>
    <t xml:space="preserve">Documento de Diseño con insuficiente detalle.</t>
  </si>
  <si>
    <t xml:space="preserve">Ciertos escenarios no fueron descritos en detalle en los documentos funcionales, en su lugar, en algunos casos se hizo referencia al comportamiento de un sistema anterior. 
Está situación ocasionó interpretaciones inadecuadas del alcance por parte del equipo de desarrollo, por lo que ciertos componentes no fueron aceptados por el usuario final. </t>
  </si>
  <si>
    <t xml:space="preserve">Se retrasó la fecha de entrega y se incurrieron en costos adicionales por retrabajo.</t>
  </si>
  <si>
    <t xml:space="preserve">Como acción correctiva, se realizaron reuniones con los usuarios para describir el comportamiento esperado y se actualizó el documento de diseño funcional. Luego se realizaron desarrollos de la funcionalidad esperada.
Como acción preventiva, se revisaron el resto de los documentos de diseño funcional para buscar identificar situaciones similares y tomar los correctivos antes de comenzar a desarrollar esos componentes.</t>
  </si>
  <si>
    <t xml:space="preserve">Implementar un control de aprobación de los documentos funcionales.
Incluir en el checklist de aprobación que el documento describa en detalle los procesos de negocio y comportamiento esperados.
</t>
  </si>
</sst>
</file>

<file path=xl/styles.xml><?xml version="1.0" encoding="utf-8"?>
<styleSheet xmlns="http://schemas.openxmlformats.org/spreadsheetml/2006/main">
  <numFmts count="3">
    <numFmt numFmtId="164" formatCode="General"/>
    <numFmt numFmtId="165" formatCode="dd/mm/yyyy"/>
    <numFmt numFmtId="166" formatCode="m/d/yyyy"/>
  </numFmts>
  <fonts count="8">
    <font>
      <sz val="11"/>
      <color theme="1"/>
      <name val="Calibri"/>
      <family val="2"/>
      <charset val="1"/>
    </font>
    <font>
      <sz val="10"/>
      <name val="Arial"/>
      <family val="0"/>
    </font>
    <font>
      <sz val="10"/>
      <name val="Arial"/>
      <family val="0"/>
    </font>
    <font>
      <sz val="10"/>
      <name val="Arial"/>
      <family val="0"/>
    </font>
    <font>
      <b val="true"/>
      <sz val="16"/>
      <color theme="1"/>
      <name val="Arial Narrow"/>
      <family val="0"/>
      <charset val="1"/>
    </font>
    <font>
      <b val="true"/>
      <sz val="12"/>
      <color theme="3"/>
      <name val="Arial Narrow"/>
      <family val="0"/>
      <charset val="1"/>
    </font>
    <font>
      <sz val="12"/>
      <color theme="0"/>
      <name val="Arial Narrow"/>
      <family val="0"/>
      <charset val="1"/>
    </font>
    <font>
      <sz val="12"/>
      <color theme="1"/>
      <name val="Arial Narrow"/>
      <family val="0"/>
      <charset val="1"/>
    </font>
  </fonts>
  <fills count="4">
    <fill>
      <patternFill patternType="none"/>
    </fill>
    <fill>
      <patternFill patternType="gray125"/>
    </fill>
    <fill>
      <patternFill patternType="solid">
        <fgColor theme="0"/>
        <bgColor rgb="FFFFFFCC"/>
      </patternFill>
    </fill>
    <fill>
      <patternFill patternType="solid">
        <fgColor theme="3"/>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top" textRotation="0" wrapText="fals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6" fontId="7" fillId="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5" activeCellId="0" sqref="B5"/>
    </sheetView>
  </sheetViews>
  <sheetFormatPr defaultColWidth="11.4453125" defaultRowHeight="14.25" zeroHeight="false" outlineLevelRow="0" outlineLevelCol="0"/>
  <cols>
    <col collapsed="false" customWidth="true" hidden="false" outlineLevel="0" max="1" min="1" style="1" width="11"/>
    <col collapsed="false" customWidth="true" hidden="false" outlineLevel="0" max="2" min="2" style="1" width="16"/>
    <col collapsed="false" customWidth="true" hidden="false" outlineLevel="0" max="3" min="3" style="1" width="20"/>
    <col collapsed="false" customWidth="true" hidden="false" outlineLevel="0" max="4" min="4" style="1" width="16"/>
    <col collapsed="false" customWidth="true" hidden="false" outlineLevel="0" max="5" min="5" style="1" width="12"/>
    <col collapsed="false" customWidth="true" hidden="false" outlineLevel="0" max="6" min="6" style="1" width="13"/>
    <col collapsed="false" customWidth="true" hidden="false" outlineLevel="0" max="7" min="7" style="1" width="24"/>
    <col collapsed="false" customWidth="true" hidden="false" outlineLevel="0" max="8" min="8" style="1" width="38"/>
    <col collapsed="false" customWidth="true" hidden="false" outlineLevel="0" max="9" min="9" style="1" width="32"/>
    <col collapsed="false" customWidth="true" hidden="false" outlineLevel="0" max="10" min="10" style="1" width="38"/>
    <col collapsed="false" customWidth="true" hidden="false" outlineLevel="0" max="11" min="11" style="1" width="36"/>
    <col collapsed="false" customWidth="false" hidden="false" outlineLevel="0" max="16384" min="12" style="1" width="11.44"/>
  </cols>
  <sheetData>
    <row r="1" customFormat="false" ht="36" hidden="false" customHeight="true" outlineLevel="0" collapsed="false">
      <c r="A1" s="2" t="s">
        <v>0</v>
      </c>
    </row>
    <row r="2" customFormat="false" ht="21" hidden="false" customHeight="true" outlineLevel="0" collapsed="false">
      <c r="A2" s="3" t="s">
        <v>1</v>
      </c>
    </row>
    <row r="4" customFormat="false" ht="28.5" hidden="false" customHeight="true" outlineLevel="0" collapsed="false">
      <c r="A4" s="4" t="s">
        <v>2</v>
      </c>
      <c r="B4" s="4" t="s">
        <v>3</v>
      </c>
      <c r="C4" s="4" t="s">
        <v>4</v>
      </c>
      <c r="D4" s="4" t="s">
        <v>5</v>
      </c>
      <c r="E4" s="4" t="s">
        <v>6</v>
      </c>
      <c r="F4" s="4" t="s">
        <v>7</v>
      </c>
      <c r="G4" s="4" t="s">
        <v>8</v>
      </c>
      <c r="H4" s="4" t="s">
        <v>9</v>
      </c>
      <c r="I4" s="4" t="s">
        <v>10</v>
      </c>
      <c r="J4" s="4" t="s">
        <v>11</v>
      </c>
      <c r="K4" s="4" t="s">
        <v>12</v>
      </c>
    </row>
    <row r="5" customFormat="false" ht="85.5" hidden="false" customHeight="true" outlineLevel="0" collapsed="false">
      <c r="A5" s="5" t="s">
        <v>13</v>
      </c>
      <c r="B5" s="5" t="s">
        <v>14</v>
      </c>
      <c r="C5" s="5" t="s">
        <v>15</v>
      </c>
      <c r="D5" s="5" t="s">
        <v>16</v>
      </c>
      <c r="E5" s="6" t="n">
        <v>46258</v>
      </c>
      <c r="F5" s="5" t="s">
        <v>17</v>
      </c>
      <c r="G5" s="5" t="s">
        <v>18</v>
      </c>
      <c r="H5" s="5" t="s">
        <v>19</v>
      </c>
      <c r="I5" s="5" t="s">
        <v>20</v>
      </c>
      <c r="J5" s="5" t="s">
        <v>21</v>
      </c>
      <c r="K5" s="5" t="s">
        <v>22</v>
      </c>
    </row>
    <row r="6" customFormat="false" ht="69.75" hidden="false" customHeight="true" outlineLevel="0" collapsed="false">
      <c r="A6" s="5" t="s">
        <v>23</v>
      </c>
      <c r="B6" s="5" t="s">
        <v>14</v>
      </c>
      <c r="C6" s="5" t="s">
        <v>15</v>
      </c>
      <c r="D6" s="5" t="s">
        <v>16</v>
      </c>
      <c r="E6" s="6" t="n">
        <v>46281</v>
      </c>
      <c r="F6" s="5" t="s">
        <v>17</v>
      </c>
      <c r="G6" s="5" t="s">
        <v>24</v>
      </c>
      <c r="H6" s="5" t="s">
        <v>25</v>
      </c>
      <c r="I6" s="5" t="s">
        <v>26</v>
      </c>
      <c r="J6" s="5" t="s">
        <v>27</v>
      </c>
      <c r="K6" s="5" t="s">
        <v>28</v>
      </c>
    </row>
    <row r="7" customFormat="false" ht="85.5" hidden="false" customHeight="true" outlineLevel="0" collapsed="false">
      <c r="A7" s="5" t="s">
        <v>29</v>
      </c>
      <c r="B7" s="5" t="s">
        <v>14</v>
      </c>
      <c r="C7" s="5" t="s">
        <v>15</v>
      </c>
      <c r="D7" s="5" t="s">
        <v>30</v>
      </c>
      <c r="E7" s="6" t="n">
        <v>46288</v>
      </c>
      <c r="F7" s="5" t="s">
        <v>31</v>
      </c>
      <c r="G7" s="5" t="s">
        <v>32</v>
      </c>
      <c r="H7" s="5" t="s">
        <v>33</v>
      </c>
      <c r="I7" s="5" t="s">
        <v>34</v>
      </c>
      <c r="J7" s="5" t="s">
        <v>35</v>
      </c>
      <c r="K7" s="5" t="s">
        <v>36</v>
      </c>
    </row>
    <row r="8" customFormat="false" ht="85.5" hidden="false" customHeight="true" outlineLevel="0" collapsed="false">
      <c r="A8" s="5" t="s">
        <v>37</v>
      </c>
      <c r="B8" s="5" t="s">
        <v>14</v>
      </c>
      <c r="C8" s="5" t="s">
        <v>15</v>
      </c>
      <c r="D8" s="5" t="s">
        <v>38</v>
      </c>
      <c r="E8" s="6" t="n">
        <v>46288</v>
      </c>
      <c r="F8" s="5" t="s">
        <v>17</v>
      </c>
      <c r="G8" s="5" t="s">
        <v>39</v>
      </c>
      <c r="H8" s="5" t="s">
        <v>40</v>
      </c>
      <c r="I8" s="5" t="s">
        <v>41</v>
      </c>
      <c r="J8" s="5" t="s">
        <v>42</v>
      </c>
      <c r="K8" s="5" t="s">
        <v>43</v>
      </c>
    </row>
    <row r="9" customFormat="false" ht="69.75" hidden="false" customHeight="true" outlineLevel="0" collapsed="false">
      <c r="A9" s="5" t="s">
        <v>44</v>
      </c>
      <c r="B9" s="5" t="s">
        <v>14</v>
      </c>
      <c r="C9" s="5" t="s">
        <v>15</v>
      </c>
      <c r="D9" s="5" t="s">
        <v>45</v>
      </c>
      <c r="E9" s="6" t="n">
        <v>46288</v>
      </c>
      <c r="F9" s="5" t="s">
        <v>17</v>
      </c>
      <c r="G9" s="5" t="s">
        <v>46</v>
      </c>
      <c r="H9" s="5" t="s">
        <v>47</v>
      </c>
      <c r="I9" s="5" t="s">
        <v>48</v>
      </c>
      <c r="J9" s="5" t="s">
        <v>49</v>
      </c>
      <c r="K9" s="5" t="s">
        <v>50</v>
      </c>
    </row>
    <row r="10" customFormat="false" ht="85.5" hidden="false" customHeight="true" outlineLevel="0" collapsed="false">
      <c r="A10" s="5" t="s">
        <v>51</v>
      </c>
      <c r="B10" s="5" t="s">
        <v>14</v>
      </c>
      <c r="C10" s="5" t="s">
        <v>15</v>
      </c>
      <c r="D10" s="5" t="s">
        <v>52</v>
      </c>
      <c r="E10" s="6" t="n">
        <v>46288</v>
      </c>
      <c r="F10" s="5" t="s">
        <v>17</v>
      </c>
      <c r="G10" s="5" t="s">
        <v>53</v>
      </c>
      <c r="H10" s="5" t="s">
        <v>54</v>
      </c>
      <c r="I10" s="5" t="s">
        <v>55</v>
      </c>
      <c r="J10" s="5" t="s">
        <v>56</v>
      </c>
      <c r="K10" s="5" t="s">
        <v>57</v>
      </c>
    </row>
    <row r="11" customFormat="false" ht="69.75" hidden="false" customHeight="true" outlineLevel="0" collapsed="false">
      <c r="A11" s="5" t="s">
        <v>58</v>
      </c>
      <c r="B11" s="5" t="s">
        <v>14</v>
      </c>
      <c r="C11" s="5" t="s">
        <v>15</v>
      </c>
      <c r="D11" s="5" t="s">
        <v>59</v>
      </c>
      <c r="E11" s="6" t="n">
        <v>46281</v>
      </c>
      <c r="F11" s="5" t="s">
        <v>17</v>
      </c>
      <c r="G11" s="5" t="s">
        <v>60</v>
      </c>
      <c r="H11" s="5" t="s">
        <v>61</v>
      </c>
      <c r="I11" s="5" t="s">
        <v>62</v>
      </c>
      <c r="J11" s="5" t="s">
        <v>63</v>
      </c>
      <c r="K11" s="5" t="s">
        <v>64</v>
      </c>
    </row>
    <row r="12" customFormat="false" ht="85.5" hidden="false" customHeight="true" outlineLevel="0" collapsed="false">
      <c r="A12" s="5" t="s">
        <v>65</v>
      </c>
      <c r="B12" s="5" t="s">
        <v>14</v>
      </c>
      <c r="C12" s="5" t="s">
        <v>15</v>
      </c>
      <c r="D12" s="5" t="s">
        <v>66</v>
      </c>
      <c r="E12" s="6" t="n">
        <v>46288</v>
      </c>
      <c r="F12" s="5" t="s">
        <v>31</v>
      </c>
      <c r="G12" s="5" t="s">
        <v>67</v>
      </c>
      <c r="H12" s="5" t="s">
        <v>68</v>
      </c>
      <c r="I12" s="5" t="s">
        <v>69</v>
      </c>
      <c r="J12" s="5" t="s">
        <v>70</v>
      </c>
      <c r="K12" s="5" t="s">
        <v>71</v>
      </c>
    </row>
    <row r="13" customFormat="false" ht="85.5" hidden="false" customHeight="true" outlineLevel="0" collapsed="false">
      <c r="A13" s="5" t="s">
        <v>72</v>
      </c>
      <c r="B13" s="5" t="s">
        <v>14</v>
      </c>
      <c r="C13" s="5" t="s">
        <v>15</v>
      </c>
      <c r="D13" s="5" t="s">
        <v>73</v>
      </c>
      <c r="E13" s="6" t="n">
        <v>46288</v>
      </c>
      <c r="F13" s="5" t="s">
        <v>31</v>
      </c>
      <c r="G13" s="5" t="s">
        <v>74</v>
      </c>
      <c r="H13" s="5" t="s">
        <v>75</v>
      </c>
      <c r="I13" s="5" t="s">
        <v>76</v>
      </c>
      <c r="J13" s="5" t="s">
        <v>77</v>
      </c>
      <c r="K13" s="5" t="s">
        <v>78</v>
      </c>
    </row>
    <row r="14" customFormat="false" ht="69.75" hidden="false" customHeight="true" outlineLevel="0" collapsed="false">
      <c r="A14" s="5" t="s">
        <v>79</v>
      </c>
      <c r="B14" s="5" t="s">
        <v>14</v>
      </c>
      <c r="C14" s="5" t="s">
        <v>15</v>
      </c>
      <c r="D14" s="5" t="s">
        <v>80</v>
      </c>
      <c r="E14" s="6" t="n">
        <v>46288</v>
      </c>
      <c r="F14" s="5" t="s">
        <v>17</v>
      </c>
      <c r="G14" s="5" t="s">
        <v>81</v>
      </c>
      <c r="H14" s="5" t="s">
        <v>82</v>
      </c>
      <c r="I14" s="5" t="s">
        <v>83</v>
      </c>
      <c r="J14" s="5" t="s">
        <v>84</v>
      </c>
      <c r="K14" s="5" t="s">
        <v>85</v>
      </c>
    </row>
    <row r="15" customFormat="false" ht="85.5" hidden="false" customHeight="true" outlineLevel="0" collapsed="false">
      <c r="A15" s="5" t="s">
        <v>86</v>
      </c>
      <c r="B15" s="5" t="s">
        <v>14</v>
      </c>
      <c r="C15" s="5" t="s">
        <v>15</v>
      </c>
      <c r="D15" s="5" t="s">
        <v>38</v>
      </c>
      <c r="E15" s="6" t="n">
        <v>46289</v>
      </c>
      <c r="F15" s="5" t="s">
        <v>17</v>
      </c>
      <c r="G15" s="5" t="s">
        <v>87</v>
      </c>
      <c r="H15" s="5" t="s">
        <v>88</v>
      </c>
      <c r="I15" s="5" t="s">
        <v>89</v>
      </c>
      <c r="J15" s="5" t="s">
        <v>90</v>
      </c>
      <c r="K15" s="5" t="s">
        <v>91</v>
      </c>
    </row>
    <row r="16" customFormat="false" ht="15" hidden="false" customHeight="false" outlineLevel="0" collapsed="false">
      <c r="A16" s="7"/>
      <c r="B16" s="7"/>
      <c r="C16" s="7"/>
      <c r="D16" s="7"/>
      <c r="E16" s="7"/>
      <c r="F16" s="7"/>
      <c r="G16" s="7"/>
      <c r="H16" s="7"/>
      <c r="I16" s="7"/>
      <c r="J16" s="7"/>
      <c r="K16" s="7"/>
    </row>
  </sheetData>
  <printOptions headings="false" gridLines="false" gridLinesSet="true" horizontalCentered="false" verticalCentered="false"/>
  <pageMargins left="0.5" right="0.5" top="0.6" bottom="0.6"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453125" defaultRowHeight="14.25" zeroHeight="false" outlineLevelRow="0" outlineLevelCol="0"/>
  <cols>
    <col collapsed="false" customWidth="true" hidden="false" outlineLevel="0" max="1" min="1" style="1" width="27.67"/>
    <col collapsed="false" customWidth="true" hidden="false" outlineLevel="0" max="2" min="2" style="1" width="67.44"/>
    <col collapsed="false" customWidth="false" hidden="false" outlineLevel="0" max="16384" min="3" style="1" width="11.44"/>
  </cols>
  <sheetData>
    <row r="1" customFormat="false" ht="36" hidden="false" customHeight="true" outlineLevel="0" collapsed="false">
      <c r="A1" s="2" t="s">
        <v>92</v>
      </c>
    </row>
    <row r="2" customFormat="false" ht="21" hidden="false" customHeight="true" outlineLevel="0" collapsed="false">
      <c r="A2" s="3" t="s">
        <v>1</v>
      </c>
    </row>
    <row r="4" customFormat="false" ht="15" hidden="false" customHeight="false" outlineLevel="0" collapsed="false">
      <c r="A4" s="8" t="s">
        <v>93</v>
      </c>
      <c r="B4" s="8" t="s">
        <v>94</v>
      </c>
    </row>
    <row r="5" customFormat="false" ht="28.5" hidden="false" customHeight="true" outlineLevel="0" collapsed="false">
      <c r="A5" s="9" t="str">
        <f aca="false">'Lecciones Aprendidas'!A4</f>
        <v>Nro. De Referencia</v>
      </c>
      <c r="B5" s="10" t="s">
        <v>95</v>
      </c>
    </row>
    <row r="6" customFormat="false" ht="17.9" hidden="false" customHeight="false" outlineLevel="0" collapsed="false">
      <c r="A6" s="9" t="str">
        <f aca="false">'Lecciones Aprendidas'!B4</f>
        <v>Código de Proyecto</v>
      </c>
      <c r="B6" s="10" t="s">
        <v>96</v>
      </c>
    </row>
    <row r="7" customFormat="false" ht="17.9" hidden="false" customHeight="false" outlineLevel="0" collapsed="false">
      <c r="A7" s="9" t="str">
        <f aca="false">'Lecciones Aprendidas'!C4</f>
        <v>Nombre del Proyecto</v>
      </c>
      <c r="B7" s="10" t="s">
        <v>97</v>
      </c>
    </row>
    <row r="8" customFormat="false" ht="72" hidden="false" customHeight="true" outlineLevel="0" collapsed="false">
      <c r="A8" s="9" t="str">
        <f aca="false">'Lecciones Aprendidas'!D4</f>
        <v>Área / Categoría</v>
      </c>
      <c r="B8" s="10" t="s">
        <v>98</v>
      </c>
    </row>
    <row r="9" customFormat="false" ht="17.9" hidden="false" customHeight="false" outlineLevel="0" collapsed="false">
      <c r="A9" s="9" t="str">
        <f aca="false">'Lecciones Aprendidas'!E4</f>
        <v>Fecha</v>
      </c>
      <c r="B9" s="10" t="s">
        <v>99</v>
      </c>
    </row>
    <row r="10" customFormat="false" ht="57" hidden="false" customHeight="true" outlineLevel="0" collapsed="false">
      <c r="A10" s="9" t="str">
        <f aca="false">'Lecciones Aprendidas'!F4</f>
        <v>Amenaza / Oportunidad</v>
      </c>
      <c r="B10" s="10" t="s">
        <v>100</v>
      </c>
    </row>
    <row r="11" customFormat="false" ht="17.9" hidden="false" customHeight="false" outlineLevel="0" collapsed="false">
      <c r="A11" s="9" t="str">
        <f aca="false">'Lecciones Aprendidas'!G4</f>
        <v>Título</v>
      </c>
      <c r="B11" s="10" t="s">
        <v>101</v>
      </c>
    </row>
    <row r="12" customFormat="false" ht="42.75" hidden="false" customHeight="true" outlineLevel="0" collapsed="false">
      <c r="A12" s="9" t="str">
        <f aca="false">'Lecciones Aprendidas'!H4</f>
        <v>Descripción de la Situación</v>
      </c>
      <c r="B12" s="10" t="s">
        <v>102</v>
      </c>
    </row>
    <row r="13" customFormat="false" ht="100.5" hidden="false" customHeight="true" outlineLevel="0" collapsed="false">
      <c r="A13" s="9" t="str">
        <f aca="false">'Lecciones Aprendidas'!I4</f>
        <v>Descripción del Impacto en los objetivos del proyecto</v>
      </c>
      <c r="B13" s="10" t="s">
        <v>103</v>
      </c>
    </row>
    <row r="14" customFormat="false" ht="57" hidden="false" customHeight="true" outlineLevel="0" collapsed="false">
      <c r="A14" s="9" t="str">
        <f aca="false">'Lecciones Aprendidas'!J4</f>
        <v>Acciones Correctivas y Preventivas Implementadas</v>
      </c>
      <c r="B14" s="10" t="s">
        <v>104</v>
      </c>
    </row>
    <row r="15" customFormat="false" ht="57" hidden="false" customHeight="true" outlineLevel="0" collapsed="false">
      <c r="A15" s="9" t="str">
        <f aca="false">'Lecciones Aprendidas'!K4</f>
        <v>Lección Aprendida / Recomendaciones</v>
      </c>
      <c r="B15" s="10" t="s">
        <v>105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453125" defaultRowHeight="14.25" zeroHeight="false" outlineLevelRow="0" outlineLevelCol="0"/>
  <cols>
    <col collapsed="false" customWidth="true" hidden="false" outlineLevel="0" max="1" min="1" style="1" width="14.88"/>
    <col collapsed="false" customWidth="true" hidden="false" outlineLevel="0" max="2" min="2" style="1" width="13.88"/>
    <col collapsed="false" customWidth="true" hidden="false" outlineLevel="0" max="3" min="3" style="1" width="20"/>
    <col collapsed="false" customWidth="true" hidden="false" outlineLevel="0" max="4" min="4" style="1" width="15.33"/>
    <col collapsed="false" customWidth="true" hidden="false" outlineLevel="0" max="5" min="5" style="1" width="12.56"/>
    <col collapsed="false" customWidth="true" hidden="false" outlineLevel="0" max="6" min="6" style="1" width="12.33"/>
    <col collapsed="false" customWidth="true" hidden="false" outlineLevel="0" max="7" min="7" style="1" width="24.44"/>
    <col collapsed="false" customWidth="true" hidden="false" outlineLevel="0" max="8" min="8" style="1" width="37.56"/>
    <col collapsed="false" customWidth="true" hidden="false" outlineLevel="0" max="9" min="9" style="1" width="26"/>
    <col collapsed="false" customWidth="true" hidden="false" outlineLevel="0" max="10" min="10" style="1" width="36.56"/>
    <col collapsed="false" customWidth="true" hidden="false" outlineLevel="0" max="11" min="11" style="1" width="33.44"/>
    <col collapsed="false" customWidth="false" hidden="false" outlineLevel="0" max="16384" min="12" style="1" width="11.44"/>
  </cols>
  <sheetData>
    <row r="1" customFormat="false" ht="36" hidden="false" customHeight="true" outlineLevel="0" collapsed="false">
      <c r="A1" s="2" t="s">
        <v>106</v>
      </c>
    </row>
    <row r="2" customFormat="false" ht="21" hidden="false" customHeight="true" outlineLevel="0" collapsed="false">
      <c r="A2" s="3" t="s">
        <v>1</v>
      </c>
    </row>
    <row r="4" customFormat="false" ht="28.5" hidden="false" customHeight="true" outlineLevel="0" collapsed="false">
      <c r="A4" s="4" t="s">
        <v>2</v>
      </c>
      <c r="B4" s="4" t="s">
        <v>3</v>
      </c>
      <c r="C4" s="4" t="s">
        <v>4</v>
      </c>
      <c r="D4" s="4" t="s">
        <v>5</v>
      </c>
      <c r="E4" s="4" t="s">
        <v>6</v>
      </c>
      <c r="F4" s="4" t="s">
        <v>7</v>
      </c>
      <c r="G4" s="4" t="s">
        <v>8</v>
      </c>
      <c r="H4" s="4" t="s">
        <v>9</v>
      </c>
      <c r="I4" s="4" t="s">
        <v>10</v>
      </c>
      <c r="J4" s="4" t="s">
        <v>11</v>
      </c>
      <c r="K4" s="4" t="s">
        <v>12</v>
      </c>
    </row>
    <row r="5" customFormat="false" ht="186.75" hidden="false" customHeight="true" outlineLevel="0" collapsed="false">
      <c r="A5" s="10" t="s">
        <v>107</v>
      </c>
      <c r="B5" s="10" t="s">
        <v>107</v>
      </c>
      <c r="C5" s="10" t="s">
        <v>108</v>
      </c>
      <c r="D5" s="10" t="s">
        <v>16</v>
      </c>
      <c r="E5" s="11" t="n">
        <v>40844</v>
      </c>
      <c r="F5" s="10" t="s">
        <v>17</v>
      </c>
      <c r="G5" s="10" t="s">
        <v>109</v>
      </c>
      <c r="H5" s="10" t="s">
        <v>110</v>
      </c>
      <c r="I5" s="10" t="s">
        <v>111</v>
      </c>
      <c r="J5" s="10" t="s">
        <v>112</v>
      </c>
      <c r="K5" s="10" t="s">
        <v>113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Domingo</cp:lastModifiedBy>
  <dcterms:modified xsi:type="dcterms:W3CDTF">2026-09-24T06:28:34Z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