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SDD\Desktop\"/>
    </mc:Choice>
  </mc:AlternateContent>
  <xr:revisionPtr revIDLastSave="0" documentId="13_ncr:1_{11E7EBAD-D04D-4A1A-A5F5-C986B10DF93A}" xr6:coauthVersionLast="47" xr6:coauthVersionMax="47" xr10:uidLastSave="{00000000-0000-0000-0000-000000000000}"/>
  <bookViews>
    <workbookView xWindow="-120" yWindow="-120" windowWidth="29040" windowHeight="15720" tabRatio="817" activeTab="2" xr2:uid="{00000000-000D-0000-FFFF-FFFF00000000}"/>
  </bookViews>
  <sheets>
    <sheet name="Flujos - Bajo " sheetId="5" r:id="rId1"/>
    <sheet name="Flujos - Medio " sheetId="6" r:id="rId2"/>
    <sheet name="Flujos - Alto " sheetId="4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36" i="4" l="1"/>
  <c r="C12" i="4"/>
  <c r="C13" i="4" s="1"/>
  <c r="G36" i="5"/>
  <c r="G36" i="6"/>
  <c r="E21" i="6"/>
  <c r="D21" i="6"/>
  <c r="C21" i="6"/>
  <c r="S20" i="6"/>
  <c r="J15" i="6"/>
  <c r="J16" i="6" s="1"/>
  <c r="J17" i="6" s="1"/>
  <c r="N14" i="6"/>
  <c r="S13" i="6"/>
  <c r="C13" i="6"/>
  <c r="S12" i="6"/>
  <c r="S14" i="6" s="1"/>
  <c r="E12" i="6"/>
  <c r="E13" i="6" s="1"/>
  <c r="D12" i="6"/>
  <c r="D13" i="6" s="1"/>
  <c r="D23" i="6" s="1"/>
  <c r="M8" i="6" s="1"/>
  <c r="C12" i="6"/>
  <c r="J8" i="6"/>
  <c r="J9" i="6" s="1"/>
  <c r="J7" i="6" s="1"/>
  <c r="M6" i="6"/>
  <c r="E21" i="5"/>
  <c r="D21" i="5"/>
  <c r="C21" i="5"/>
  <c r="S20" i="5"/>
  <c r="J15" i="5"/>
  <c r="J16" i="5" s="1"/>
  <c r="J17" i="5" s="1"/>
  <c r="N14" i="5"/>
  <c r="S13" i="5"/>
  <c r="S12" i="5"/>
  <c r="S14" i="5" s="1"/>
  <c r="E12" i="5"/>
  <c r="E13" i="5" s="1"/>
  <c r="D12" i="5"/>
  <c r="D13" i="5" s="1"/>
  <c r="C12" i="5"/>
  <c r="C13" i="5" s="1"/>
  <c r="J8" i="5"/>
  <c r="M6" i="5"/>
  <c r="E21" i="4"/>
  <c r="D21" i="4"/>
  <c r="C21" i="4"/>
  <c r="S20" i="4"/>
  <c r="J15" i="4"/>
  <c r="J16" i="4" s="1"/>
  <c r="J17" i="4" s="1"/>
  <c r="N14" i="4"/>
  <c r="S13" i="4"/>
  <c r="S12" i="4"/>
  <c r="S14" i="4" s="1"/>
  <c r="E12" i="4"/>
  <c r="E13" i="4" s="1"/>
  <c r="D12" i="4"/>
  <c r="D13" i="4" s="1"/>
  <c r="J8" i="4"/>
  <c r="J9" i="4" s="1"/>
  <c r="J7" i="4" s="1"/>
  <c r="M6" i="4"/>
  <c r="G21" i="4" l="1"/>
  <c r="D23" i="4"/>
  <c r="M8" i="4" s="1"/>
  <c r="E23" i="4"/>
  <c r="M9" i="4" s="1"/>
  <c r="E23" i="6"/>
  <c r="M9" i="6" s="1"/>
  <c r="G21" i="6"/>
  <c r="E23" i="5"/>
  <c r="M9" i="5" s="1"/>
  <c r="G21" i="5"/>
  <c r="D23" i="5"/>
  <c r="M8" i="5" s="1"/>
  <c r="G13" i="6"/>
  <c r="C23" i="6"/>
  <c r="G13" i="5"/>
  <c r="C23" i="5"/>
  <c r="J9" i="5"/>
  <c r="J7" i="5" s="1"/>
  <c r="C23" i="4"/>
  <c r="G13" i="4"/>
  <c r="G23" i="4" s="1"/>
  <c r="G23" i="6" l="1"/>
  <c r="M15" i="5"/>
  <c r="G23" i="5"/>
  <c r="M15" i="6" a="1"/>
  <c r="M15" i="6" s="1"/>
  <c r="M7" i="6"/>
  <c r="M16" i="6" s="1" a="1"/>
  <c r="M16" i="6" s="1"/>
  <c r="M7" i="5"/>
  <c r="M16" i="5" s="1" a="1"/>
  <c r="M16" i="5" s="1"/>
  <c r="M15" i="4" a="1"/>
  <c r="M15" i="4" s="1"/>
  <c r="M7" i="4"/>
  <c r="M16" i="4" s="1" a="1"/>
  <c r="M16" i="4" s="1"/>
</calcChain>
</file>

<file path=xl/sharedStrings.xml><?xml version="1.0" encoding="utf-8"?>
<sst xmlns="http://schemas.openxmlformats.org/spreadsheetml/2006/main" count="269" uniqueCount="80">
  <si>
    <t>Mes 1</t>
  </si>
  <si>
    <t>Mes 3</t>
  </si>
  <si>
    <t>Mes 5</t>
  </si>
  <si>
    <t>FLUJO DE CAJA - Cotizadora Manuel Arellano (Plataforma Web y App Móvil de Cotización)</t>
  </si>
  <si>
    <t>INGRESOS</t>
  </si>
  <si>
    <t>FLUJOS DE CAJA</t>
  </si>
  <si>
    <t>FICHA PROYECTO</t>
  </si>
  <si>
    <t>DASHBOARD ECONOMICO</t>
  </si>
  <si>
    <t>Sueldos Equipo Desarrollo</t>
  </si>
  <si>
    <t>Costo Proyecto</t>
  </si>
  <si>
    <t>Inversión</t>
  </si>
  <si>
    <t>Equipo</t>
  </si>
  <si>
    <t>Cargo</t>
  </si>
  <si>
    <t>Sueldo Mensual</t>
  </si>
  <si>
    <t>Valor Hora</t>
  </si>
  <si>
    <t>/H</t>
  </si>
  <si>
    <t>Cuota Cliente</t>
  </si>
  <si>
    <t>Rentabilidad</t>
  </si>
  <si>
    <t>Flujo Periodo 0</t>
  </si>
  <si>
    <t>Maximiliano Leiva</t>
  </si>
  <si>
    <t>Desarrollador Full Stack</t>
  </si>
  <si>
    <t>Saldo Periodo Anterior</t>
  </si>
  <si>
    <t>Precio Venta</t>
  </si>
  <si>
    <t>Flujo Periodo 1</t>
  </si>
  <si>
    <t>Martín Carriel</t>
  </si>
  <si>
    <t>Préstamos</t>
  </si>
  <si>
    <t>Flujo Periodo 2</t>
  </si>
  <si>
    <t>inversion</t>
  </si>
  <si>
    <t xml:space="preserve">Capital Inicial </t>
  </si>
  <si>
    <t>Ingresos Anuales</t>
  </si>
  <si>
    <t>Total sueldos / mes</t>
  </si>
  <si>
    <t>Saldos Mensuales</t>
  </si>
  <si>
    <t>Préstamo</t>
  </si>
  <si>
    <t>Total sueldo / diario</t>
  </si>
  <si>
    <t>Cuotas</t>
  </si>
  <si>
    <t>Tasa</t>
  </si>
  <si>
    <t>Total sueldos / año</t>
  </si>
  <si>
    <t>Egresos</t>
  </si>
  <si>
    <t>Interes</t>
  </si>
  <si>
    <t>VAN</t>
  </si>
  <si>
    <t>Arriendos</t>
  </si>
  <si>
    <t>Valor Cuota</t>
  </si>
  <si>
    <t>TIR</t>
  </si>
  <si>
    <t>Sueldos Equipo Mantencion</t>
  </si>
  <si>
    <t>Sueldos</t>
  </si>
  <si>
    <t>Costo Crédito</t>
  </si>
  <si>
    <t>Servicios</t>
  </si>
  <si>
    <t>Maximiliano Leiva / Martín Carriel</t>
  </si>
  <si>
    <t>Soporte y Mantención Web</t>
  </si>
  <si>
    <t>Cuota prestamo</t>
  </si>
  <si>
    <t>INVERSION</t>
  </si>
  <si>
    <t>Otros</t>
  </si>
  <si>
    <t>EGRESOS</t>
  </si>
  <si>
    <t>Nombre</t>
  </si>
  <si>
    <t>Costo</t>
  </si>
  <si>
    <t>Total sueldo / año</t>
  </si>
  <si>
    <t>Total Egresos</t>
  </si>
  <si>
    <t>Costo de oportunidad de las horas de desarrollo (18 semanas)</t>
  </si>
  <si>
    <t>SALDO</t>
  </si>
  <si>
    <t>Flujo</t>
  </si>
  <si>
    <t>Catálogo parametrizable de productos (ventanas y aluminios)</t>
  </si>
  <si>
    <t>Dashboard con KPI para el cliente</t>
  </si>
  <si>
    <t>Motor de cotización y reglas técnicas de cálculo</t>
  </si>
  <si>
    <t>Aplicación móvil (Kotlin/Jetpack)</t>
  </si>
  <si>
    <t>Registro de marca</t>
  </si>
  <si>
    <t>Registro de Dominio + Hosting (ya incluido en Servicios, fila 18)</t>
  </si>
  <si>
    <t>Capacitación al personal de Manuel Arellano</t>
  </si>
  <si>
    <t>Marketing digital y posicionamiento de marca</t>
  </si>
  <si>
    <t>Estudio de mercado</t>
  </si>
  <si>
    <t>Cuenta desarrollador Google Play (no se publicará por ahora)</t>
  </si>
  <si>
    <t>Total Otros</t>
  </si>
  <si>
    <t>Egreso Gasto</t>
  </si>
  <si>
    <t>Arriendo, sueldo, servicios</t>
  </si>
  <si>
    <t>Egreso Costo</t>
  </si>
  <si>
    <t xml:space="preserve">Implementos tecnológicos y materiales </t>
  </si>
  <si>
    <t>Proyecto de Título (Capstone PTY4614) - Ingeniería en Informática, DUOC UC | Maximiliano Leiva (Full Stack) - Martín Carriel (Full Stack) | Escenario: Alto</t>
  </si>
  <si>
    <t xml:space="preserve">Proyecto de Título (Capstone PTY4614) - Ingeniería en Informática, DUOC UC | Maximiliano Leiva (Full Stack) - Martín Carriel (Full Stack) | Escenario: Bajo </t>
  </si>
  <si>
    <t xml:space="preserve">Proyecto de Título (Capstone PTY4614) - Ingeniería en Informática, DUOC UC | Maximiliano Leiva (Full Stack) - Martín Carriel (Full Stack) | Escenario: Medio </t>
  </si>
  <si>
    <t>Servicio SMTP / Licencias de correo / Contingencias</t>
  </si>
  <si>
    <t xml:space="preserve">Cuenta desarrollador Google Play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</si>
</sst>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&quot;$&quot;\-#,##0"/>
    <numFmt numFmtId="164" formatCode="_ * #,##0_ ;_ * \-#,##0_ ;_ * \-_ ;_ @_ "/>
    <numFmt numFmtId="165" formatCode="[$$]#,##0"/>
    <numFmt numFmtId="166" formatCode="0.0%"/>
    <numFmt numFmtId="167" formatCode="_ * #,##0.00_ ;_ * \-#,##0.00_ ;_ * \-_ ;_ @_ "/>
  </numFmts>
  <fonts count="13" x14ac:knownFonts="1">
    <font>
      <sz val="11"/>
      <color theme="1"/>
      <name val="Calibri"/>
      <charset val="1"/>
    </font>
    <font>
      <sz val="11"/>
      <color rgb="FF0000FF"/>
      <name val="Calibri"/>
      <charset val="1"/>
    </font>
    <font>
      <b/>
      <sz val="14"/>
      <color theme="1"/>
      <name val="Calibri"/>
      <charset val="1"/>
    </font>
    <font>
      <b/>
      <sz val="11"/>
      <color theme="1"/>
      <name val="Calibri"/>
      <charset val="1"/>
    </font>
    <font>
      <b/>
      <sz val="11"/>
      <color theme="1"/>
      <name val="Arial"/>
      <charset val="1"/>
    </font>
    <font>
      <b/>
      <sz val="12"/>
      <color theme="1"/>
      <name val="Calibri"/>
      <charset val="1"/>
    </font>
    <font>
      <sz val="11"/>
      <color theme="1"/>
      <name val="Arial"/>
      <charset val="1"/>
    </font>
    <font>
      <b/>
      <sz val="11"/>
      <color rgb="FFFF0000"/>
      <name val="Calibri"/>
      <charset val="1"/>
    </font>
    <font>
      <sz val="11"/>
      <color rgb="FF000000"/>
      <name val="Arial Narrow"/>
      <charset val="1"/>
    </font>
    <font>
      <sz val="11"/>
      <color theme="1"/>
      <name val="Arial Narrow"/>
      <charset val="1"/>
    </font>
    <font>
      <b/>
      <sz val="14"/>
      <name val="Calibri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5" tint="0.79989013336588644"/>
        <bgColor rgb="FFFFF2CC"/>
      </patternFill>
    </fill>
    <fill>
      <patternFill patternType="solid">
        <fgColor rgb="FFFFF2CC"/>
        <bgColor rgb="FFFBE5D6"/>
      </patternFill>
    </fill>
    <fill>
      <patternFill patternType="solid">
        <fgColor theme="9" tint="0.59987182226020086"/>
        <bgColor rgb="FFCCCCCC"/>
      </patternFill>
    </fill>
    <fill>
      <patternFill patternType="solid">
        <fgColor rgb="FFC9DAF8"/>
        <bgColor rgb="FFCCCCCC"/>
      </patternFill>
    </fill>
    <fill>
      <patternFill patternType="solid">
        <fgColor rgb="FFFFE598"/>
        <bgColor rgb="FFFFF2CC"/>
      </patternFill>
    </fill>
    <fill>
      <patternFill patternType="solid">
        <fgColor theme="2" tint="-0.14999847407452621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medium">
        <color auto="1"/>
      </left>
      <right/>
      <top style="thick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rgb="FFCCCCCC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rgb="FFCCCCCC"/>
      </top>
      <bottom style="medium">
        <color auto="1"/>
      </bottom>
      <diagonal/>
    </border>
    <border>
      <left style="medium">
        <color rgb="FFCCCCCC"/>
      </left>
      <right style="medium">
        <color auto="1"/>
      </right>
      <top style="medium">
        <color rgb="FFCCCCCC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rgb="FFCCCCCC"/>
      </top>
      <bottom/>
      <diagonal/>
    </border>
    <border>
      <left style="medium">
        <color rgb="FFCCCCCC"/>
      </left>
      <right style="medium">
        <color auto="1"/>
      </right>
      <top style="medium">
        <color rgb="FFCCCCCC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</borders>
  <cellStyleXfs count="1">
    <xf numFmtId="0" fontId="0" fillId="0" borderId="0"/>
  </cellStyleXfs>
  <cellXfs count="102">
    <xf numFmtId="0" fontId="0" fillId="0" borderId="0" xfId="0"/>
    <xf numFmtId="164" fontId="0" fillId="0" borderId="0" xfId="0" applyNumberForma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3" borderId="8" xfId="0" applyFill="1" applyBorder="1"/>
    <xf numFmtId="164" fontId="0" fillId="3" borderId="9" xfId="0" applyNumberFormat="1" applyFill="1" applyBorder="1"/>
    <xf numFmtId="0" fontId="0" fillId="0" borderId="10" xfId="0" applyBorder="1"/>
    <xf numFmtId="164" fontId="0" fillId="0" borderId="10" xfId="0" applyNumberFormat="1" applyBorder="1"/>
    <xf numFmtId="0" fontId="4" fillId="4" borderId="10" xfId="0" applyFont="1" applyFill="1" applyBorder="1"/>
    <xf numFmtId="0" fontId="4" fillId="4" borderId="11" xfId="0" applyFont="1" applyFill="1" applyBorder="1"/>
    <xf numFmtId="0" fontId="4" fillId="4" borderId="11" xfId="0" applyFont="1" applyFill="1" applyBorder="1" applyAlignment="1">
      <alignment horizontal="right"/>
    </xf>
    <xf numFmtId="0" fontId="0" fillId="0" borderId="12" xfId="0" applyBorder="1" applyAlignment="1">
      <alignment horizontal="center"/>
    </xf>
    <xf numFmtId="165" fontId="1" fillId="0" borderId="10" xfId="0" applyNumberFormat="1" applyFont="1" applyBorder="1"/>
    <xf numFmtId="165" fontId="1" fillId="0" borderId="13" xfId="0" applyNumberFormat="1" applyFont="1" applyBorder="1"/>
    <xf numFmtId="165" fontId="0" fillId="0" borderId="0" xfId="0" applyNumberFormat="1"/>
    <xf numFmtId="0" fontId="0" fillId="0" borderId="14" xfId="0" applyBorder="1"/>
    <xf numFmtId="166" fontId="0" fillId="0" borderId="15" xfId="0" applyNumberFormat="1" applyBorder="1"/>
    <xf numFmtId="0" fontId="0" fillId="0" borderId="4" xfId="0" applyBorder="1"/>
    <xf numFmtId="164" fontId="0" fillId="0" borderId="4" xfId="0" applyNumberFormat="1" applyBorder="1"/>
    <xf numFmtId="0" fontId="6" fillId="0" borderId="4" xfId="0" applyFont="1" applyBorder="1"/>
    <xf numFmtId="165" fontId="6" fillId="0" borderId="4" xfId="0" applyNumberFormat="1" applyFont="1" applyBorder="1"/>
    <xf numFmtId="0" fontId="0" fillId="0" borderId="16" xfId="0" applyBorder="1" applyAlignment="1">
      <alignment horizontal="center"/>
    </xf>
    <xf numFmtId="165" fontId="0" fillId="0" borderId="4" xfId="0" applyNumberFormat="1" applyBorder="1"/>
    <xf numFmtId="165" fontId="0" fillId="0" borderId="17" xfId="0" applyNumberFormat="1" applyBorder="1"/>
    <xf numFmtId="0" fontId="0" fillId="2" borderId="14" xfId="0" applyFill="1" applyBorder="1"/>
    <xf numFmtId="164" fontId="0" fillId="2" borderId="15" xfId="0" applyNumberFormat="1" applyFill="1" applyBorder="1"/>
    <xf numFmtId="164" fontId="0" fillId="0" borderId="15" xfId="0" applyNumberFormat="1" applyBorder="1"/>
    <xf numFmtId="0" fontId="0" fillId="0" borderId="16" xfId="0" applyBorder="1"/>
    <xf numFmtId="0" fontId="6" fillId="0" borderId="0" xfId="0" applyFont="1"/>
    <xf numFmtId="0" fontId="0" fillId="0" borderId="18" xfId="0" applyBorder="1"/>
    <xf numFmtId="165" fontId="0" fillId="0" borderId="19" xfId="0" applyNumberFormat="1" applyBorder="1"/>
    <xf numFmtId="165" fontId="0" fillId="0" borderId="20" xfId="0" applyNumberFormat="1" applyBorder="1"/>
    <xf numFmtId="0" fontId="7" fillId="0" borderId="0" xfId="0" applyFont="1" applyAlignment="1">
      <alignment horizontal="center"/>
    </xf>
    <xf numFmtId="165" fontId="6" fillId="0" borderId="4" xfId="0" applyNumberFormat="1" applyFont="1" applyBorder="1" applyAlignment="1">
      <alignment horizontal="right"/>
    </xf>
    <xf numFmtId="0" fontId="6" fillId="0" borderId="0" xfId="0" applyFont="1" applyAlignment="1">
      <alignment horizontal="right"/>
    </xf>
    <xf numFmtId="0" fontId="0" fillId="5" borderId="21" xfId="0" applyFill="1" applyBorder="1"/>
    <xf numFmtId="165" fontId="0" fillId="5" borderId="22" xfId="0" applyNumberFormat="1" applyFill="1" applyBorder="1"/>
    <xf numFmtId="165" fontId="0" fillId="5" borderId="23" xfId="0" applyNumberFormat="1" applyFill="1" applyBorder="1"/>
    <xf numFmtId="0" fontId="0" fillId="3" borderId="14" xfId="0" applyFill="1" applyBorder="1" applyAlignment="1">
      <alignment horizontal="center"/>
    </xf>
    <xf numFmtId="164" fontId="0" fillId="3" borderId="15" xfId="0" applyNumberFormat="1" applyFill="1" applyBorder="1"/>
    <xf numFmtId="0" fontId="0" fillId="0" borderId="14" xfId="0" applyBorder="1" applyAlignment="1">
      <alignment horizontal="center"/>
    </xf>
    <xf numFmtId="0" fontId="0" fillId="0" borderId="4" xfId="0" applyBorder="1" applyAlignment="1">
      <alignment horizontal="center"/>
    </xf>
    <xf numFmtId="9" fontId="0" fillId="0" borderId="0" xfId="0" applyNumberFormat="1"/>
    <xf numFmtId="0" fontId="6" fillId="0" borderId="24" xfId="0" applyFont="1" applyBorder="1"/>
    <xf numFmtId="167" fontId="0" fillId="0" borderId="15" xfId="0" applyNumberFormat="1" applyBorder="1"/>
    <xf numFmtId="167" fontId="0" fillId="0" borderId="0" xfId="0" applyNumberFormat="1"/>
    <xf numFmtId="164" fontId="0" fillId="0" borderId="4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9" fontId="0" fillId="0" borderId="4" xfId="0" applyNumberFormat="1" applyBorder="1" applyAlignment="1">
      <alignment horizontal="center"/>
    </xf>
    <xf numFmtId="0" fontId="0" fillId="0" borderId="27" xfId="0" applyBorder="1" applyAlignment="1">
      <alignment horizontal="center"/>
    </xf>
    <xf numFmtId="164" fontId="0" fillId="0" borderId="28" xfId="0" applyNumberFormat="1" applyBorder="1"/>
    <xf numFmtId="165" fontId="1" fillId="0" borderId="4" xfId="0" applyNumberFormat="1" applyFont="1" applyBorder="1"/>
    <xf numFmtId="165" fontId="1" fillId="0" borderId="17" xfId="0" applyNumberFormat="1" applyFont="1" applyBorder="1"/>
    <xf numFmtId="0" fontId="0" fillId="6" borderId="2" xfId="0" applyFill="1" applyBorder="1" applyAlignment="1">
      <alignment horizontal="center" vertical="center" wrapText="1"/>
    </xf>
    <xf numFmtId="0" fontId="0" fillId="6" borderId="29" xfId="0" applyFill="1" applyBorder="1" applyAlignment="1">
      <alignment horizontal="center" vertical="center" wrapText="1"/>
    </xf>
    <xf numFmtId="0" fontId="0" fillId="7" borderId="30" xfId="0" applyFill="1" applyBorder="1"/>
    <xf numFmtId="165" fontId="0" fillId="7" borderId="31" xfId="0" applyNumberFormat="1" applyFill="1" applyBorder="1"/>
    <xf numFmtId="165" fontId="0" fillId="7" borderId="32" xfId="0" applyNumberFormat="1" applyFill="1" applyBorder="1"/>
    <xf numFmtId="0" fontId="0" fillId="0" borderId="33" xfId="0" applyBorder="1" applyAlignment="1">
      <alignment wrapText="1"/>
    </xf>
    <xf numFmtId="3" fontId="1" fillId="0" borderId="34" xfId="0" applyNumberFormat="1" applyFont="1" applyBorder="1" applyAlignment="1">
      <alignment horizontal="right" wrapText="1"/>
    </xf>
    <xf numFmtId="0" fontId="0" fillId="0" borderId="35" xfId="0" applyBorder="1" applyAlignment="1">
      <alignment wrapText="1"/>
    </xf>
    <xf numFmtId="3" fontId="0" fillId="0" borderId="36" xfId="0" applyNumberFormat="1" applyBorder="1" applyAlignment="1">
      <alignment horizontal="right" wrapText="1"/>
    </xf>
    <xf numFmtId="0" fontId="3" fillId="5" borderId="37" xfId="0" applyFont="1" applyFill="1" applyBorder="1"/>
    <xf numFmtId="165" fontId="3" fillId="5" borderId="22" xfId="0" applyNumberFormat="1" applyFont="1" applyFill="1" applyBorder="1"/>
    <xf numFmtId="165" fontId="3" fillId="5" borderId="23" xfId="0" applyNumberFormat="1" applyFont="1" applyFill="1" applyBorder="1"/>
    <xf numFmtId="0" fontId="0" fillId="0" borderId="1" xfId="0" applyBorder="1" applyAlignment="1">
      <alignment wrapText="1"/>
    </xf>
    <xf numFmtId="3" fontId="0" fillId="0" borderId="1" xfId="0" applyNumberFormat="1" applyBorder="1" applyAlignment="1">
      <alignment horizontal="right" wrapText="1"/>
    </xf>
    <xf numFmtId="0" fontId="0" fillId="0" borderId="0" xfId="0" applyAlignment="1">
      <alignment wrapText="1"/>
    </xf>
    <xf numFmtId="165" fontId="8" fillId="0" borderId="4" xfId="0" applyNumberFormat="1" applyFont="1" applyBorder="1" applyAlignment="1">
      <alignment horizontal="right"/>
    </xf>
    <xf numFmtId="165" fontId="9" fillId="0" borderId="4" xfId="0" applyNumberFormat="1" applyFont="1" applyBorder="1" applyAlignment="1">
      <alignment horizontal="right" vertical="center"/>
    </xf>
    <xf numFmtId="165" fontId="9" fillId="0" borderId="4" xfId="0" applyNumberFormat="1" applyFont="1" applyBorder="1" applyAlignment="1">
      <alignment horizontal="right"/>
    </xf>
    <xf numFmtId="165" fontId="3" fillId="5" borderId="10" xfId="0" applyNumberFormat="1" applyFont="1" applyFill="1" applyBorder="1" applyAlignment="1">
      <alignment horizontal="right"/>
    </xf>
    <xf numFmtId="0" fontId="3" fillId="0" borderId="0" xfId="0" applyFont="1" applyAlignment="1">
      <alignment horizontal="left"/>
    </xf>
    <xf numFmtId="3" fontId="3" fillId="0" borderId="0" xfId="0" applyNumberFormat="1" applyFont="1" applyAlignment="1">
      <alignment horizontal="right"/>
    </xf>
    <xf numFmtId="0" fontId="3" fillId="0" borderId="0" xfId="0" applyFont="1"/>
    <xf numFmtId="3" fontId="0" fillId="0" borderId="0" xfId="0" applyNumberFormat="1"/>
    <xf numFmtId="0" fontId="0" fillId="0" borderId="0" xfId="0" applyAlignment="1">
      <alignment horizontal="left"/>
    </xf>
    <xf numFmtId="0" fontId="3" fillId="5" borderId="10" xfId="0" applyFont="1" applyFill="1" applyBorder="1" applyAlignment="1">
      <alignment horizontal="left"/>
    </xf>
    <xf numFmtId="0" fontId="3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left" wrapText="1"/>
    </xf>
    <xf numFmtId="0" fontId="0" fillId="0" borderId="4" xfId="0" applyBorder="1"/>
    <xf numFmtId="0" fontId="0" fillId="0" borderId="4" xfId="0" applyBorder="1" applyAlignment="1">
      <alignment horizontal="left"/>
    </xf>
    <xf numFmtId="0" fontId="3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 vertical="center"/>
    </xf>
    <xf numFmtId="0" fontId="10" fillId="8" borderId="38" xfId="0" applyFont="1" applyFill="1" applyBorder="1" applyAlignment="1">
      <alignment horizontal="center" vertical="center"/>
    </xf>
    <xf numFmtId="0" fontId="10" fillId="8" borderId="39" xfId="0" applyFont="1" applyFill="1" applyBorder="1" applyAlignment="1">
      <alignment horizontal="center" vertical="center"/>
    </xf>
    <xf numFmtId="0" fontId="10" fillId="8" borderId="40" xfId="0" applyFont="1" applyFill="1" applyBorder="1" applyAlignment="1">
      <alignment horizontal="center" vertical="center"/>
    </xf>
    <xf numFmtId="0" fontId="11" fillId="0" borderId="5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6" fontId="12" fillId="0" borderId="0" xfId="0" applyNumberFormat="1" applyFont="1"/>
    <xf numFmtId="0" fontId="11" fillId="0" borderId="41" xfId="0" applyFont="1" applyBorder="1" applyAlignment="1">
      <alignment horizontal="center"/>
    </xf>
    <xf numFmtId="0" fontId="3" fillId="3" borderId="42" xfId="0" applyFont="1" applyFill="1" applyBorder="1" applyAlignment="1">
      <alignment horizontal="center"/>
    </xf>
    <xf numFmtId="0" fontId="11" fillId="0" borderId="2" xfId="0" applyFont="1" applyBorder="1" applyAlignment="1">
      <alignment horizontal="center"/>
    </xf>
    <xf numFmtId="6" fontId="12" fillId="0" borderId="13" xfId="0" applyNumberFormat="1" applyFont="1" applyBorder="1"/>
    <xf numFmtId="0" fontId="12" fillId="0" borderId="4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BE5D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FF99"/>
      <rgbColor rgb="FF99CCFF"/>
      <rgbColor rgb="FFFF99CC"/>
      <rgbColor rgb="FFCC99FF"/>
      <rgbColor rgb="FFFFE598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U998"/>
  <sheetViews>
    <sheetView zoomScale="85" zoomScaleNormal="85" workbookViewId="0">
      <selection activeCell="I21" sqref="I21"/>
    </sheetView>
  </sheetViews>
  <sheetFormatPr baseColWidth="10" defaultColWidth="14.42578125" defaultRowHeight="15" x14ac:dyDescent="0.25"/>
  <cols>
    <col min="1" max="1" width="10.7109375" customWidth="1"/>
    <col min="2" max="2" width="21.42578125" customWidth="1"/>
    <col min="3" max="3" width="14.28515625" customWidth="1"/>
    <col min="4" max="4" width="17.5703125" customWidth="1"/>
    <col min="5" max="5" width="20.140625" customWidth="1"/>
    <col min="6" max="6" width="12.85546875" customWidth="1"/>
    <col min="7" max="7" width="14.28515625" customWidth="1"/>
    <col min="9" max="9" width="14.28515625" customWidth="1"/>
    <col min="10" max="10" width="13.7109375" customWidth="1"/>
    <col min="11" max="11" width="12.140625" customWidth="1"/>
    <col min="12" max="12" width="24.140625" customWidth="1"/>
    <col min="13" max="13" width="12.42578125" customWidth="1"/>
    <col min="14" max="14" width="4.85546875" customWidth="1"/>
    <col min="15" max="16" width="10.7109375" customWidth="1"/>
    <col min="17" max="17" width="32.5703125" customWidth="1"/>
    <col min="18" max="18" width="19" customWidth="1"/>
    <col min="19" max="19" width="17.140625" customWidth="1"/>
    <col min="20" max="20" width="11.5703125" customWidth="1"/>
    <col min="21" max="21" width="6" customWidth="1"/>
    <col min="22" max="26" width="10.7109375" customWidth="1"/>
  </cols>
  <sheetData>
    <row r="1" spans="2:21" ht="15" customHeight="1" x14ac:dyDescent="0.25">
      <c r="B1" s="90" t="s">
        <v>3</v>
      </c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2"/>
    </row>
    <row r="2" spans="2:21" ht="15" customHeight="1" x14ac:dyDescent="0.25">
      <c r="B2" s="89" t="s">
        <v>76</v>
      </c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</row>
    <row r="3" spans="2:21" ht="15" customHeight="1" x14ac:dyDescent="0.3">
      <c r="B3" s="2"/>
      <c r="C3" s="2"/>
      <c r="D3" s="2"/>
      <c r="E3" s="2"/>
      <c r="F3" s="2"/>
      <c r="G3" s="2"/>
      <c r="H3" s="2"/>
      <c r="I3" s="2"/>
    </row>
    <row r="4" spans="2:21" ht="15" customHeight="1" thickBot="1" x14ac:dyDescent="0.3">
      <c r="B4" s="87" t="s">
        <v>4</v>
      </c>
      <c r="C4" s="87"/>
      <c r="D4" s="87"/>
      <c r="E4" s="87"/>
      <c r="F4" s="87"/>
      <c r="G4" s="87"/>
    </row>
    <row r="5" spans="2:21" ht="15" customHeight="1" thickTop="1" thickBot="1" x14ac:dyDescent="0.3">
      <c r="C5" s="88" t="s">
        <v>5</v>
      </c>
      <c r="D5" s="88"/>
      <c r="E5" s="98"/>
      <c r="F5" s="3"/>
      <c r="G5" s="3"/>
      <c r="I5" s="86" t="s">
        <v>6</v>
      </c>
      <c r="J5" s="86"/>
      <c r="L5" s="83" t="s">
        <v>7</v>
      </c>
      <c r="M5" s="83"/>
      <c r="N5" s="3"/>
      <c r="Q5" s="84" t="s">
        <v>8</v>
      </c>
      <c r="R5" s="84"/>
      <c r="S5" s="84"/>
      <c r="T5" s="84"/>
      <c r="U5" s="84"/>
    </row>
    <row r="6" spans="2:21" ht="15.75" customHeight="1" thickTop="1" thickBot="1" x14ac:dyDescent="0.3">
      <c r="C6" s="93" t="s">
        <v>0</v>
      </c>
      <c r="D6" s="97" t="s">
        <v>1</v>
      </c>
      <c r="E6" s="99" t="s">
        <v>2</v>
      </c>
      <c r="F6" s="4"/>
      <c r="G6" s="4"/>
      <c r="I6" s="5" t="s">
        <v>9</v>
      </c>
      <c r="J6" s="6">
        <v>0</v>
      </c>
      <c r="K6" s="1"/>
      <c r="L6" s="7" t="s">
        <v>10</v>
      </c>
      <c r="M6" s="8">
        <f>(J13*-1)+(-M21)</f>
        <v>-2142000</v>
      </c>
      <c r="Q6" s="9" t="s">
        <v>11</v>
      </c>
      <c r="R6" s="10" t="s">
        <v>12</v>
      </c>
      <c r="S6" s="10" t="s">
        <v>13</v>
      </c>
      <c r="T6" s="11" t="s">
        <v>14</v>
      </c>
      <c r="U6" s="10" t="s">
        <v>15</v>
      </c>
    </row>
    <row r="7" spans="2:21" ht="15" customHeight="1" thickTop="1" x14ac:dyDescent="0.25">
      <c r="B7" s="12" t="s">
        <v>16</v>
      </c>
      <c r="C7" s="13">
        <v>1680000</v>
      </c>
      <c r="D7" s="96">
        <v>1260000</v>
      </c>
      <c r="E7" s="100">
        <v>1260000</v>
      </c>
      <c r="F7" s="15"/>
      <c r="G7" s="15"/>
      <c r="I7" s="16" t="s">
        <v>17</v>
      </c>
      <c r="J7" s="17">
        <f>IF(J8=0,0,J9/J8)</f>
        <v>1</v>
      </c>
      <c r="K7" s="1"/>
      <c r="L7" s="18" t="s">
        <v>18</v>
      </c>
      <c r="M7" s="19">
        <f>+C23</f>
        <v>630000</v>
      </c>
      <c r="Q7" s="20" t="s">
        <v>19</v>
      </c>
      <c r="R7" s="20" t="s">
        <v>20</v>
      </c>
      <c r="S7" s="21">
        <v>960000</v>
      </c>
      <c r="T7" s="21">
        <v>6000</v>
      </c>
      <c r="U7" s="20" t="s">
        <v>15</v>
      </c>
    </row>
    <row r="8" spans="2:21" ht="15" customHeight="1" x14ac:dyDescent="0.25">
      <c r="B8" s="22" t="s">
        <v>21</v>
      </c>
      <c r="C8" s="23">
        <v>0</v>
      </c>
      <c r="D8" s="23">
        <v>0</v>
      </c>
      <c r="E8" s="24">
        <v>0</v>
      </c>
      <c r="F8" s="15"/>
      <c r="G8" s="15"/>
      <c r="I8" s="25" t="s">
        <v>22</v>
      </c>
      <c r="J8" s="26">
        <f>C7</f>
        <v>1680000</v>
      </c>
      <c r="K8" s="1"/>
      <c r="L8" s="18" t="s">
        <v>23</v>
      </c>
      <c r="M8" s="19">
        <f>+D23</f>
        <v>360000</v>
      </c>
      <c r="Q8" s="20" t="s">
        <v>24</v>
      </c>
      <c r="R8" s="20" t="s">
        <v>20</v>
      </c>
      <c r="S8" s="21">
        <v>960000</v>
      </c>
      <c r="T8" s="21">
        <v>6000</v>
      </c>
      <c r="U8" s="20" t="s">
        <v>15</v>
      </c>
    </row>
    <row r="9" spans="2:21" ht="15" customHeight="1" x14ac:dyDescent="0.25">
      <c r="B9" s="22" t="s">
        <v>25</v>
      </c>
      <c r="C9" s="23">
        <v>0</v>
      </c>
      <c r="D9" s="23">
        <v>0</v>
      </c>
      <c r="E9" s="24">
        <v>0</v>
      </c>
      <c r="F9" s="15"/>
      <c r="G9" s="15"/>
      <c r="I9" s="16" t="s">
        <v>17</v>
      </c>
      <c r="J9" s="27">
        <f>+J8-J6</f>
        <v>1680000</v>
      </c>
      <c r="K9" s="1"/>
      <c r="L9" s="18" t="s">
        <v>26</v>
      </c>
      <c r="M9" s="19">
        <f>+E23</f>
        <v>360000</v>
      </c>
    </row>
    <row r="10" spans="2:21" ht="15" customHeight="1" x14ac:dyDescent="0.25">
      <c r="B10" s="28" t="s">
        <v>27</v>
      </c>
      <c r="C10" s="23">
        <v>0</v>
      </c>
      <c r="D10" s="23">
        <v>0</v>
      </c>
      <c r="E10" s="24">
        <v>0</v>
      </c>
      <c r="F10" s="15"/>
      <c r="G10" s="15"/>
      <c r="I10" s="16"/>
      <c r="J10" s="27"/>
      <c r="K10" s="1"/>
      <c r="L10" s="18"/>
      <c r="M10" s="19"/>
      <c r="Q10" s="29"/>
      <c r="R10" s="29"/>
      <c r="S10" s="29"/>
      <c r="T10" s="29"/>
      <c r="U10" s="29"/>
    </row>
    <row r="11" spans="2:21" ht="15" customHeight="1" x14ac:dyDescent="0.25">
      <c r="B11" s="30" t="s">
        <v>28</v>
      </c>
      <c r="C11" s="31">
        <v>0</v>
      </c>
      <c r="D11" s="31"/>
      <c r="E11" s="32">
        <v>0</v>
      </c>
      <c r="F11" s="15"/>
      <c r="G11" s="15"/>
      <c r="I11" s="16"/>
      <c r="J11" s="27"/>
      <c r="K11" s="1"/>
      <c r="L11" s="18"/>
      <c r="M11" s="19"/>
      <c r="Q11" s="29"/>
      <c r="R11" s="29"/>
      <c r="S11" s="29"/>
      <c r="T11" s="29"/>
      <c r="U11" s="29"/>
    </row>
    <row r="12" spans="2:21" ht="15" customHeight="1" x14ac:dyDescent="0.25">
      <c r="B12" s="30" t="s">
        <v>29</v>
      </c>
      <c r="C12" s="31">
        <f>SUM(C7:C10)</f>
        <v>1680000</v>
      </c>
      <c r="D12" s="31">
        <f>SUM(D7:D10)</f>
        <v>1260000</v>
      </c>
      <c r="E12" s="32">
        <f>SUM(E7:E11)</f>
        <v>1260000</v>
      </c>
      <c r="G12" s="33" t="s">
        <v>4</v>
      </c>
      <c r="I12" s="16"/>
      <c r="J12" s="27"/>
      <c r="K12" s="1"/>
      <c r="L12" s="18"/>
      <c r="M12" s="19"/>
      <c r="Q12" s="29"/>
      <c r="R12" s="20" t="s">
        <v>30</v>
      </c>
      <c r="S12" s="34">
        <f>SUM(S7:S10)</f>
        <v>1920000</v>
      </c>
      <c r="T12" s="35"/>
      <c r="U12" s="29"/>
    </row>
    <row r="13" spans="2:21" ht="15" customHeight="1" x14ac:dyDescent="0.25">
      <c r="B13" s="36" t="s">
        <v>31</v>
      </c>
      <c r="C13" s="37">
        <f>+C12</f>
        <v>1680000</v>
      </c>
      <c r="D13" s="37">
        <f>D12</f>
        <v>1260000</v>
      </c>
      <c r="E13" s="38">
        <f>E12</f>
        <v>1260000</v>
      </c>
      <c r="G13" s="15">
        <f>SUM(C13,D13,E13)</f>
        <v>4200000</v>
      </c>
      <c r="I13" s="39" t="s">
        <v>32</v>
      </c>
      <c r="J13" s="40">
        <v>0</v>
      </c>
      <c r="K13" s="1"/>
      <c r="L13" s="18"/>
      <c r="M13" s="18"/>
      <c r="Q13" s="29"/>
      <c r="R13" s="20" t="s">
        <v>33</v>
      </c>
      <c r="S13" s="34">
        <f>8*T7</f>
        <v>48000</v>
      </c>
      <c r="T13" s="29"/>
      <c r="U13" s="29"/>
    </row>
    <row r="14" spans="2:21" ht="15" customHeight="1" x14ac:dyDescent="0.25">
      <c r="C14" s="1"/>
      <c r="D14" s="1"/>
      <c r="E14" s="1"/>
      <c r="I14" s="41" t="s">
        <v>34</v>
      </c>
      <c r="J14" s="27">
        <v>12</v>
      </c>
      <c r="K14" s="1"/>
      <c r="L14" s="18" t="s">
        <v>35</v>
      </c>
      <c r="M14" s="42">
        <v>18</v>
      </c>
      <c r="N14" s="43">
        <f>+M14/100</f>
        <v>0.18</v>
      </c>
      <c r="Q14" s="44"/>
      <c r="R14" s="20" t="s">
        <v>36</v>
      </c>
      <c r="S14" s="21">
        <f>S12*12</f>
        <v>23040000</v>
      </c>
      <c r="T14" s="29"/>
      <c r="U14" s="29"/>
    </row>
    <row r="15" spans="2:21" ht="15" customHeight="1" x14ac:dyDescent="0.25">
      <c r="B15" s="85" t="s">
        <v>37</v>
      </c>
      <c r="C15" s="85"/>
      <c r="D15" s="85"/>
      <c r="E15" s="85"/>
      <c r="I15" s="41" t="s">
        <v>38</v>
      </c>
      <c r="J15" s="45">
        <f>M14/J14</f>
        <v>1.5</v>
      </c>
      <c r="K15" s="46"/>
      <c r="L15" s="18" t="s">
        <v>39</v>
      </c>
      <c r="M15" s="47">
        <f>NPV(N14,C23,D23,E23)+M6</f>
        <v>-1130448.1860365469</v>
      </c>
      <c r="Q15" s="29"/>
      <c r="R15" s="29"/>
      <c r="S15" s="29"/>
      <c r="T15" s="29"/>
      <c r="U15" s="29"/>
    </row>
    <row r="16" spans="2:21" ht="15" customHeight="1" x14ac:dyDescent="0.25">
      <c r="B16" s="48" t="s">
        <v>40</v>
      </c>
      <c r="C16" s="23">
        <v>0</v>
      </c>
      <c r="D16" s="23">
        <v>0</v>
      </c>
      <c r="E16" s="24">
        <v>0</v>
      </c>
      <c r="I16" s="41" t="s">
        <v>41</v>
      </c>
      <c r="J16" s="27">
        <f>(J13/J14)*J15</f>
        <v>0</v>
      </c>
      <c r="K16" s="1"/>
      <c r="L16" s="18" t="s">
        <v>42</v>
      </c>
      <c r="M16" s="49">
        <f t="array" ref="M16">IFERROR(IRR(M6:M9),"N/D")</f>
        <v>-0.21705330626135377</v>
      </c>
      <c r="Q16" s="84" t="s">
        <v>43</v>
      </c>
      <c r="R16" s="84"/>
      <c r="S16" s="84"/>
      <c r="T16" s="84"/>
      <c r="U16" s="84"/>
    </row>
    <row r="17" spans="2:21" ht="15" customHeight="1" x14ac:dyDescent="0.25">
      <c r="B17" s="48" t="s">
        <v>44</v>
      </c>
      <c r="C17" s="23">
        <v>1050000</v>
      </c>
      <c r="D17" s="23">
        <v>900000</v>
      </c>
      <c r="E17" s="24">
        <v>900000</v>
      </c>
      <c r="I17" s="50" t="s">
        <v>45</v>
      </c>
      <c r="J17" s="51">
        <f>+J16*J14</f>
        <v>0</v>
      </c>
      <c r="K17" s="1"/>
      <c r="Q17" s="9" t="s">
        <v>11</v>
      </c>
      <c r="R17" s="10" t="s">
        <v>12</v>
      </c>
      <c r="S17" s="10" t="s">
        <v>13</v>
      </c>
      <c r="T17" s="11" t="s">
        <v>14</v>
      </c>
      <c r="U17" s="10" t="s">
        <v>15</v>
      </c>
    </row>
    <row r="18" spans="2:21" ht="15" customHeight="1" x14ac:dyDescent="0.25">
      <c r="B18" s="48" t="s">
        <v>46</v>
      </c>
      <c r="C18" s="52"/>
      <c r="D18" s="52"/>
      <c r="E18" s="24"/>
      <c r="Q18" s="20" t="s">
        <v>47</v>
      </c>
      <c r="R18" s="20" t="s">
        <v>48</v>
      </c>
      <c r="S18" s="34">
        <v>0</v>
      </c>
      <c r="T18" s="21">
        <v>0</v>
      </c>
      <c r="U18" s="20" t="s">
        <v>15</v>
      </c>
    </row>
    <row r="19" spans="2:21" ht="15" customHeight="1" x14ac:dyDescent="0.25">
      <c r="B19" s="48" t="s">
        <v>49</v>
      </c>
      <c r="C19" s="23">
        <v>0</v>
      </c>
      <c r="D19" s="23">
        <v>0</v>
      </c>
      <c r="E19" s="24">
        <v>0</v>
      </c>
      <c r="L19" s="86" t="s">
        <v>50</v>
      </c>
      <c r="M19" s="86"/>
      <c r="Q19" s="29"/>
      <c r="R19" s="29"/>
      <c r="S19" s="29"/>
      <c r="T19" s="29"/>
      <c r="U19" s="29"/>
    </row>
    <row r="20" spans="2:21" ht="15" customHeight="1" x14ac:dyDescent="0.25">
      <c r="B20" s="48" t="s">
        <v>51</v>
      </c>
      <c r="C20" s="23">
        <v>0</v>
      </c>
      <c r="D20" s="23">
        <v>0</v>
      </c>
      <c r="E20" s="24">
        <v>0</v>
      </c>
      <c r="G20" s="33" t="s">
        <v>52</v>
      </c>
      <c r="K20" s="1"/>
      <c r="L20" s="54" t="s">
        <v>53</v>
      </c>
      <c r="M20" s="55" t="s">
        <v>54</v>
      </c>
      <c r="Q20" s="29"/>
      <c r="R20" s="20" t="s">
        <v>55</v>
      </c>
      <c r="S20" s="21">
        <f>S18*12</f>
        <v>0</v>
      </c>
      <c r="T20" s="29"/>
      <c r="U20" s="29"/>
    </row>
    <row r="21" spans="2:21" ht="43.5" customHeight="1" thickBot="1" x14ac:dyDescent="0.3">
      <c r="B21" s="56" t="s">
        <v>56</v>
      </c>
      <c r="C21" s="57">
        <f>SUM(C16:C20)</f>
        <v>1050000</v>
      </c>
      <c r="D21" s="57">
        <f>SUM(D16:D20)</f>
        <v>900000</v>
      </c>
      <c r="E21" s="58">
        <f>SUM(E16:E20)</f>
        <v>900000</v>
      </c>
      <c r="G21" s="15">
        <f>SUM(C21:E21)</f>
        <v>2850000</v>
      </c>
      <c r="K21" s="43"/>
      <c r="L21" s="59" t="s">
        <v>57</v>
      </c>
      <c r="M21" s="60">
        <v>2142000</v>
      </c>
    </row>
    <row r="22" spans="2:21" ht="15" customHeight="1" thickTop="1" thickBot="1" x14ac:dyDescent="0.3">
      <c r="C22" s="1"/>
      <c r="D22" s="1"/>
      <c r="E22" s="1"/>
      <c r="G22" s="33" t="s">
        <v>58</v>
      </c>
    </row>
    <row r="23" spans="2:21" ht="15" customHeight="1" thickTop="1" thickBot="1" x14ac:dyDescent="0.3">
      <c r="B23" s="63" t="s">
        <v>59</v>
      </c>
      <c r="C23" s="64">
        <f>+C13-C21</f>
        <v>630000</v>
      </c>
      <c r="D23" s="64">
        <f>+D13-D21</f>
        <v>360000</v>
      </c>
      <c r="E23" s="65">
        <f>+E13-E21</f>
        <v>360000</v>
      </c>
      <c r="G23" s="15">
        <f>+G13-G21</f>
        <v>1350000</v>
      </c>
    </row>
    <row r="24" spans="2:21" ht="15.75" customHeight="1" thickTop="1" x14ac:dyDescent="0.25">
      <c r="L24" s="68"/>
      <c r="M24" s="68"/>
    </row>
    <row r="25" spans="2:21" ht="15.75" customHeight="1" x14ac:dyDescent="0.3">
      <c r="B25" s="79" t="s">
        <v>51</v>
      </c>
      <c r="C25" s="80" t="s">
        <v>60</v>
      </c>
      <c r="D25" s="80"/>
      <c r="E25" s="80"/>
      <c r="F25" s="80"/>
      <c r="G25" s="69">
        <v>0</v>
      </c>
      <c r="L25" s="68"/>
      <c r="M25" s="68"/>
    </row>
    <row r="26" spans="2:21" ht="15.75" customHeight="1" x14ac:dyDescent="0.3">
      <c r="B26" s="79"/>
      <c r="C26" s="80" t="s">
        <v>61</v>
      </c>
      <c r="D26" s="80"/>
      <c r="E26" s="80"/>
      <c r="F26" s="80"/>
      <c r="G26" s="69">
        <v>0</v>
      </c>
      <c r="L26" s="68"/>
      <c r="M26" s="68"/>
    </row>
    <row r="27" spans="2:21" ht="15.75" customHeight="1" x14ac:dyDescent="0.3">
      <c r="B27" s="79"/>
      <c r="C27" s="80" t="s">
        <v>62</v>
      </c>
      <c r="D27" s="80"/>
      <c r="E27" s="80"/>
      <c r="F27" s="80"/>
      <c r="G27" s="69">
        <v>0</v>
      </c>
      <c r="L27" s="68"/>
      <c r="M27" s="68"/>
    </row>
    <row r="28" spans="2:21" ht="15.75" customHeight="1" x14ac:dyDescent="0.3">
      <c r="B28" s="79"/>
      <c r="C28" s="81" t="s">
        <v>63</v>
      </c>
      <c r="D28" s="81"/>
      <c r="E28" s="81"/>
      <c r="F28" s="81"/>
      <c r="G28" s="69">
        <v>0</v>
      </c>
      <c r="L28" s="68"/>
      <c r="M28" s="68"/>
    </row>
    <row r="29" spans="2:21" ht="15.75" customHeight="1" x14ac:dyDescent="0.25">
      <c r="B29" s="79"/>
      <c r="C29" s="81" t="s">
        <v>64</v>
      </c>
      <c r="D29" s="81"/>
      <c r="E29" s="81"/>
      <c r="F29" s="81"/>
      <c r="G29" s="70">
        <v>0</v>
      </c>
      <c r="L29" s="68"/>
      <c r="M29" s="68"/>
    </row>
    <row r="30" spans="2:21" ht="15.75" customHeight="1" x14ac:dyDescent="0.3">
      <c r="B30" s="79"/>
      <c r="C30" s="81" t="s">
        <v>65</v>
      </c>
      <c r="D30" s="81"/>
      <c r="E30" s="81"/>
      <c r="F30" s="81"/>
      <c r="G30" s="71">
        <v>0</v>
      </c>
      <c r="L30" s="68"/>
      <c r="M30" s="68"/>
    </row>
    <row r="31" spans="2:21" ht="15.75" customHeight="1" x14ac:dyDescent="0.25">
      <c r="B31" s="79"/>
      <c r="C31" s="81" t="s">
        <v>66</v>
      </c>
      <c r="D31" s="81"/>
      <c r="E31" s="81"/>
      <c r="F31" s="81"/>
      <c r="G31" s="70">
        <v>0</v>
      </c>
      <c r="L31" s="68"/>
      <c r="M31" s="68"/>
    </row>
    <row r="32" spans="2:21" ht="15.75" customHeight="1" x14ac:dyDescent="0.3">
      <c r="B32" s="79"/>
      <c r="C32" s="81" t="s">
        <v>67</v>
      </c>
      <c r="D32" s="81"/>
      <c r="E32" s="81"/>
      <c r="F32" s="81"/>
      <c r="G32" s="71">
        <v>0</v>
      </c>
      <c r="L32" s="68"/>
      <c r="M32" s="68"/>
    </row>
    <row r="33" spans="2:13" ht="15.75" customHeight="1" x14ac:dyDescent="0.3">
      <c r="B33" s="79"/>
      <c r="C33" s="81" t="s">
        <v>68</v>
      </c>
      <c r="D33" s="81"/>
      <c r="E33" s="81"/>
      <c r="F33" s="81"/>
      <c r="G33" s="71">
        <v>0</v>
      </c>
      <c r="L33" s="68"/>
      <c r="M33" s="68"/>
    </row>
    <row r="34" spans="2:13" ht="15.75" customHeight="1" x14ac:dyDescent="0.3">
      <c r="B34" s="79"/>
      <c r="C34" s="81" t="s">
        <v>78</v>
      </c>
      <c r="D34" s="81"/>
      <c r="E34" s="81"/>
      <c r="F34" s="81"/>
      <c r="G34" s="71">
        <v>0</v>
      </c>
      <c r="L34" s="68"/>
      <c r="M34" s="68"/>
    </row>
    <row r="35" spans="2:13" ht="15.75" customHeight="1" x14ac:dyDescent="0.3">
      <c r="B35" s="79"/>
      <c r="C35" s="82" t="s">
        <v>69</v>
      </c>
      <c r="D35" s="82"/>
      <c r="E35" s="82"/>
      <c r="F35" s="82"/>
      <c r="G35" s="71">
        <v>0</v>
      </c>
      <c r="L35" s="68"/>
      <c r="M35" s="68"/>
    </row>
    <row r="36" spans="2:13" ht="15.75" customHeight="1" x14ac:dyDescent="0.25">
      <c r="C36" s="78" t="s">
        <v>70</v>
      </c>
      <c r="D36" s="78"/>
      <c r="E36" s="78"/>
      <c r="F36" s="78"/>
      <c r="G36" s="72">
        <f>SUM(G25:G35)</f>
        <v>0</v>
      </c>
      <c r="L36" s="68"/>
      <c r="M36" s="68"/>
    </row>
    <row r="37" spans="2:13" ht="15.75" customHeight="1" x14ac:dyDescent="0.25">
      <c r="L37" s="68"/>
      <c r="M37" s="68"/>
    </row>
    <row r="38" spans="2:13" ht="15.75" customHeight="1" x14ac:dyDescent="0.25">
      <c r="B38" s="75" t="s">
        <v>71</v>
      </c>
      <c r="C38" s="77" t="s">
        <v>72</v>
      </c>
      <c r="D38" s="77"/>
      <c r="E38" s="77"/>
      <c r="F38" s="77"/>
    </row>
    <row r="39" spans="2:13" ht="15.75" customHeight="1" x14ac:dyDescent="0.25">
      <c r="B39" s="75" t="s">
        <v>73</v>
      </c>
      <c r="C39" s="77" t="s">
        <v>74</v>
      </c>
      <c r="D39" s="77"/>
      <c r="E39" s="77"/>
      <c r="F39" s="77"/>
    </row>
    <row r="40" spans="2:13" ht="15.75" customHeight="1" x14ac:dyDescent="0.25">
      <c r="C40" s="76"/>
    </row>
    <row r="41" spans="2:13" ht="15.75" customHeight="1" x14ac:dyDescent="0.25"/>
    <row r="42" spans="2:13" ht="15.75" customHeight="1" x14ac:dyDescent="0.25"/>
    <row r="43" spans="2:13" ht="15.75" customHeight="1" x14ac:dyDescent="0.25"/>
    <row r="44" spans="2:13" ht="15.75" customHeight="1" x14ac:dyDescent="0.25"/>
    <row r="45" spans="2:13" ht="15.75" customHeight="1" x14ac:dyDescent="0.25"/>
    <row r="46" spans="2:13" ht="15.75" customHeight="1" x14ac:dyDescent="0.25"/>
    <row r="47" spans="2:13" ht="15.75" customHeight="1" x14ac:dyDescent="0.25"/>
    <row r="48" spans="2:13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mergeCells count="25">
    <mergeCell ref="B4:G4"/>
    <mergeCell ref="C5:E5"/>
    <mergeCell ref="I5:J5"/>
    <mergeCell ref="B2:N2"/>
    <mergeCell ref="B1:N1"/>
    <mergeCell ref="L5:M5"/>
    <mergeCell ref="Q5:U5"/>
    <mergeCell ref="B15:E15"/>
    <mergeCell ref="Q16:U16"/>
    <mergeCell ref="L19:M19"/>
    <mergeCell ref="C25:F25"/>
    <mergeCell ref="C26:F26"/>
    <mergeCell ref="C27:F27"/>
    <mergeCell ref="C28:F28"/>
    <mergeCell ref="C29:F29"/>
    <mergeCell ref="C30:F30"/>
    <mergeCell ref="C31:F31"/>
    <mergeCell ref="C32:F32"/>
    <mergeCell ref="C33:F33"/>
    <mergeCell ref="C34:F34"/>
    <mergeCell ref="B25:B35"/>
    <mergeCell ref="C38:F38"/>
    <mergeCell ref="C39:F39"/>
    <mergeCell ref="C35:F35"/>
    <mergeCell ref="C36:F36"/>
  </mergeCells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U998"/>
  <sheetViews>
    <sheetView zoomScale="70" zoomScaleNormal="70" workbookViewId="0">
      <selection activeCell="I23" sqref="I23"/>
    </sheetView>
  </sheetViews>
  <sheetFormatPr baseColWidth="10" defaultColWidth="14.42578125" defaultRowHeight="15" x14ac:dyDescent="0.25"/>
  <cols>
    <col min="1" max="1" width="10.7109375" customWidth="1"/>
    <col min="2" max="2" width="21.42578125" customWidth="1"/>
    <col min="3" max="3" width="14.28515625" customWidth="1"/>
    <col min="4" max="4" width="17.5703125" customWidth="1"/>
    <col min="5" max="5" width="20.140625" customWidth="1"/>
    <col min="6" max="6" width="12.85546875" customWidth="1"/>
    <col min="7" max="7" width="14.28515625" customWidth="1"/>
    <col min="9" max="9" width="14.28515625" customWidth="1"/>
    <col min="10" max="10" width="13.7109375" customWidth="1"/>
    <col min="11" max="11" width="12.140625" customWidth="1"/>
    <col min="12" max="12" width="24.140625" customWidth="1"/>
    <col min="13" max="13" width="12.42578125" customWidth="1"/>
    <col min="14" max="14" width="4.85546875" customWidth="1"/>
    <col min="15" max="16" width="10.7109375" customWidth="1"/>
    <col min="17" max="17" width="32.5703125" customWidth="1"/>
    <col min="18" max="18" width="19" customWidth="1"/>
    <col min="19" max="19" width="17.140625" customWidth="1"/>
    <col min="20" max="20" width="11.5703125" customWidth="1"/>
    <col min="21" max="21" width="6" customWidth="1"/>
    <col min="22" max="26" width="10.7109375" customWidth="1"/>
  </cols>
  <sheetData>
    <row r="1" spans="2:21" ht="15" customHeight="1" x14ac:dyDescent="0.25">
      <c r="B1" s="90" t="s">
        <v>3</v>
      </c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2"/>
    </row>
    <row r="2" spans="2:21" ht="15" customHeight="1" x14ac:dyDescent="0.25">
      <c r="B2" s="89" t="s">
        <v>77</v>
      </c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</row>
    <row r="3" spans="2:21" ht="15" customHeight="1" x14ac:dyDescent="0.3">
      <c r="B3" s="2"/>
      <c r="C3" s="2"/>
      <c r="D3" s="2"/>
      <c r="E3" s="2"/>
      <c r="F3" s="2"/>
      <c r="G3" s="2"/>
      <c r="H3" s="2"/>
      <c r="I3" s="2"/>
    </row>
    <row r="4" spans="2:21" ht="15" customHeight="1" x14ac:dyDescent="0.25">
      <c r="B4" s="87" t="s">
        <v>4</v>
      </c>
      <c r="C4" s="87"/>
      <c r="D4" s="87"/>
      <c r="E4" s="87"/>
      <c r="F4" s="87"/>
      <c r="G4" s="87"/>
    </row>
    <row r="5" spans="2:21" ht="15" customHeight="1" x14ac:dyDescent="0.25">
      <c r="C5" s="88" t="s">
        <v>5</v>
      </c>
      <c r="D5" s="88"/>
      <c r="E5" s="88"/>
      <c r="F5" s="3"/>
      <c r="G5" s="3"/>
      <c r="I5" s="86" t="s">
        <v>6</v>
      </c>
      <c r="J5" s="86"/>
      <c r="L5" s="83" t="s">
        <v>7</v>
      </c>
      <c r="M5" s="83"/>
      <c r="N5" s="3"/>
      <c r="Q5" s="84" t="s">
        <v>8</v>
      </c>
      <c r="R5" s="84"/>
      <c r="S5" s="84"/>
      <c r="T5" s="84"/>
      <c r="U5" s="84"/>
    </row>
    <row r="6" spans="2:21" ht="15.75" customHeight="1" x14ac:dyDescent="0.25">
      <c r="C6" s="93" t="s">
        <v>0</v>
      </c>
      <c r="D6" s="94" t="s">
        <v>1</v>
      </c>
      <c r="E6" s="95" t="s">
        <v>2</v>
      </c>
      <c r="F6" s="4"/>
      <c r="G6" s="4"/>
      <c r="I6" s="5" t="s">
        <v>9</v>
      </c>
      <c r="J6" s="6">
        <v>0</v>
      </c>
      <c r="K6" s="1"/>
      <c r="L6" s="7" t="s">
        <v>10</v>
      </c>
      <c r="M6" s="8">
        <f>(J13*-1)+(-M21)</f>
        <v>-3060000</v>
      </c>
      <c r="Q6" s="9" t="s">
        <v>11</v>
      </c>
      <c r="R6" s="10" t="s">
        <v>12</v>
      </c>
      <c r="S6" s="10" t="s">
        <v>13</v>
      </c>
      <c r="T6" s="11" t="s">
        <v>14</v>
      </c>
      <c r="U6" s="10" t="s">
        <v>15</v>
      </c>
    </row>
    <row r="7" spans="2:21" ht="15" customHeight="1" x14ac:dyDescent="0.25">
      <c r="B7" s="12" t="s">
        <v>16</v>
      </c>
      <c r="C7" s="13">
        <v>2380000</v>
      </c>
      <c r="D7" s="13">
        <v>2380000</v>
      </c>
      <c r="E7" s="14">
        <v>2040000</v>
      </c>
      <c r="F7" s="15"/>
      <c r="G7" s="15"/>
      <c r="I7" s="16" t="s">
        <v>17</v>
      </c>
      <c r="J7" s="17">
        <f>IF(J8=0,0,J9/J8)</f>
        <v>1</v>
      </c>
      <c r="K7" s="1"/>
      <c r="L7" s="18" t="s">
        <v>18</v>
      </c>
      <c r="M7" s="19">
        <f>+C23</f>
        <v>375000</v>
      </c>
      <c r="Q7" s="20" t="s">
        <v>19</v>
      </c>
      <c r="R7" s="20" t="s">
        <v>20</v>
      </c>
      <c r="S7" s="21">
        <v>960000</v>
      </c>
      <c r="T7" s="21">
        <v>6000</v>
      </c>
      <c r="U7" s="20" t="s">
        <v>15</v>
      </c>
    </row>
    <row r="8" spans="2:21" ht="15" customHeight="1" x14ac:dyDescent="0.25">
      <c r="B8" s="22" t="s">
        <v>21</v>
      </c>
      <c r="C8" s="23">
        <v>0</v>
      </c>
      <c r="D8" s="23">
        <v>0</v>
      </c>
      <c r="E8" s="24">
        <v>0</v>
      </c>
      <c r="F8" s="15"/>
      <c r="G8" s="15"/>
      <c r="I8" s="25" t="s">
        <v>22</v>
      </c>
      <c r="J8" s="26">
        <f>C7</f>
        <v>2380000</v>
      </c>
      <c r="K8" s="1"/>
      <c r="L8" s="18" t="s">
        <v>23</v>
      </c>
      <c r="M8" s="19">
        <f>+D23</f>
        <v>365000</v>
      </c>
      <c r="Q8" s="20" t="s">
        <v>24</v>
      </c>
      <c r="R8" s="20" t="s">
        <v>20</v>
      </c>
      <c r="S8" s="21">
        <v>960000</v>
      </c>
      <c r="T8" s="21">
        <v>6000</v>
      </c>
      <c r="U8" s="20" t="s">
        <v>15</v>
      </c>
    </row>
    <row r="9" spans="2:21" ht="15" customHeight="1" x14ac:dyDescent="0.25">
      <c r="B9" s="22" t="s">
        <v>25</v>
      </c>
      <c r="C9" s="23">
        <v>0</v>
      </c>
      <c r="D9" s="23">
        <v>0</v>
      </c>
      <c r="E9" s="24">
        <v>0</v>
      </c>
      <c r="F9" s="15"/>
      <c r="G9" s="15"/>
      <c r="I9" s="16" t="s">
        <v>17</v>
      </c>
      <c r="J9" s="27">
        <f>+J8-J6</f>
        <v>2380000</v>
      </c>
      <c r="K9" s="1"/>
      <c r="L9" s="18" t="s">
        <v>26</v>
      </c>
      <c r="M9" s="19">
        <f>+E23</f>
        <v>980000</v>
      </c>
      <c r="Q9" s="20"/>
      <c r="R9" s="20"/>
      <c r="S9" s="21"/>
      <c r="T9" s="21"/>
      <c r="U9" s="20" t="s">
        <v>15</v>
      </c>
    </row>
    <row r="10" spans="2:21" ht="15" customHeight="1" x14ac:dyDescent="0.25">
      <c r="B10" s="28" t="s">
        <v>27</v>
      </c>
      <c r="C10" s="23">
        <v>0</v>
      </c>
      <c r="D10" s="23">
        <v>0</v>
      </c>
      <c r="E10" s="24">
        <v>0</v>
      </c>
      <c r="F10" s="15"/>
      <c r="G10" s="15"/>
      <c r="I10" s="16"/>
      <c r="J10" s="27"/>
      <c r="K10" s="1"/>
      <c r="L10" s="18"/>
      <c r="M10" s="19"/>
      <c r="Q10" s="29"/>
      <c r="R10" s="29"/>
      <c r="S10" s="29"/>
      <c r="T10" s="29"/>
      <c r="U10" s="29"/>
    </row>
    <row r="11" spans="2:21" ht="15" customHeight="1" x14ac:dyDescent="0.25">
      <c r="B11" s="30" t="s">
        <v>28</v>
      </c>
      <c r="C11" s="31">
        <v>0</v>
      </c>
      <c r="D11" s="31"/>
      <c r="E11" s="32">
        <v>0</v>
      </c>
      <c r="F11" s="15"/>
      <c r="G11" s="15"/>
      <c r="I11" s="16"/>
      <c r="J11" s="27"/>
      <c r="K11" s="1"/>
      <c r="L11" s="18"/>
      <c r="M11" s="19"/>
      <c r="Q11" s="29"/>
      <c r="R11" s="29"/>
      <c r="S11" s="29"/>
      <c r="T11" s="29"/>
      <c r="U11" s="29"/>
    </row>
    <row r="12" spans="2:21" ht="15" customHeight="1" x14ac:dyDescent="0.25">
      <c r="B12" s="30" t="s">
        <v>29</v>
      </c>
      <c r="C12" s="31">
        <f>SUM(C7:C10)</f>
        <v>2380000</v>
      </c>
      <c r="D12" s="31">
        <f>SUM(D7:D10)</f>
        <v>2380000</v>
      </c>
      <c r="E12" s="32">
        <f>SUM(E7:E11)</f>
        <v>2040000</v>
      </c>
      <c r="G12" s="33" t="s">
        <v>4</v>
      </c>
      <c r="I12" s="16"/>
      <c r="J12" s="27"/>
      <c r="K12" s="1"/>
      <c r="L12" s="18"/>
      <c r="M12" s="19"/>
      <c r="Q12" s="29"/>
      <c r="R12" s="20" t="s">
        <v>30</v>
      </c>
      <c r="S12" s="34">
        <f>SUM(S7:S10)</f>
        <v>1920000</v>
      </c>
      <c r="T12" s="35"/>
      <c r="U12" s="29"/>
    </row>
    <row r="13" spans="2:21" ht="15" customHeight="1" x14ac:dyDescent="0.25">
      <c r="B13" s="36" t="s">
        <v>31</v>
      </c>
      <c r="C13" s="37">
        <f>+C12</f>
        <v>2380000</v>
      </c>
      <c r="D13" s="37">
        <f>D12</f>
        <v>2380000</v>
      </c>
      <c r="E13" s="38">
        <f>E12</f>
        <v>2040000</v>
      </c>
      <c r="G13" s="15">
        <f>SUM(C13,D13,E13)</f>
        <v>6800000</v>
      </c>
      <c r="I13" s="39" t="s">
        <v>32</v>
      </c>
      <c r="J13" s="40">
        <v>0</v>
      </c>
      <c r="K13" s="1"/>
      <c r="L13" s="18"/>
      <c r="M13" s="18"/>
      <c r="Q13" s="29"/>
      <c r="R13" s="20" t="s">
        <v>33</v>
      </c>
      <c r="S13" s="34">
        <f>8*T7</f>
        <v>48000</v>
      </c>
      <c r="T13" s="29"/>
      <c r="U13" s="29"/>
    </row>
    <row r="14" spans="2:21" ht="15" customHeight="1" x14ac:dyDescent="0.25">
      <c r="C14" s="1"/>
      <c r="D14" s="1"/>
      <c r="E14" s="1"/>
      <c r="I14" s="41" t="s">
        <v>34</v>
      </c>
      <c r="J14" s="27">
        <v>12</v>
      </c>
      <c r="K14" s="1"/>
      <c r="L14" s="18" t="s">
        <v>35</v>
      </c>
      <c r="M14" s="42">
        <v>18</v>
      </c>
      <c r="N14" s="43">
        <f>+M14/100</f>
        <v>0.18</v>
      </c>
      <c r="Q14" s="44"/>
      <c r="R14" s="20" t="s">
        <v>36</v>
      </c>
      <c r="S14" s="21">
        <f>S12*12</f>
        <v>23040000</v>
      </c>
      <c r="T14" s="29"/>
      <c r="U14" s="29"/>
    </row>
    <row r="15" spans="2:21" ht="15" customHeight="1" x14ac:dyDescent="0.25">
      <c r="B15" s="85" t="s">
        <v>37</v>
      </c>
      <c r="C15" s="85"/>
      <c r="D15" s="85"/>
      <c r="E15" s="85"/>
      <c r="I15" s="41" t="s">
        <v>38</v>
      </c>
      <c r="J15" s="45">
        <f>M14/J14</f>
        <v>1.5</v>
      </c>
      <c r="K15" s="46"/>
      <c r="L15" s="18" t="s">
        <v>39</v>
      </c>
      <c r="M15" s="47">
        <f t="array" ref="M15">NPV(N14,C23,D23,E23)+M6</f>
        <v>-1883607.8177418332</v>
      </c>
      <c r="Q15" s="29"/>
      <c r="R15" s="29"/>
      <c r="S15" s="29"/>
      <c r="T15" s="29"/>
      <c r="U15" s="29"/>
    </row>
    <row r="16" spans="2:21" ht="15" customHeight="1" x14ac:dyDescent="0.25">
      <c r="B16" s="48" t="s">
        <v>40</v>
      </c>
      <c r="C16" s="23">
        <v>0</v>
      </c>
      <c r="D16" s="23">
        <v>0</v>
      </c>
      <c r="E16" s="24">
        <v>0</v>
      </c>
      <c r="I16" s="41" t="s">
        <v>41</v>
      </c>
      <c r="J16" s="27">
        <f>(J13/J14)*J15</f>
        <v>0</v>
      </c>
      <c r="K16" s="1"/>
      <c r="L16" s="18" t="s">
        <v>42</v>
      </c>
      <c r="M16" s="49">
        <f t="array" ref="M16">IFERROR(IRR(M6:M9),"N/D")</f>
        <v>-0.21132528480240098</v>
      </c>
      <c r="Q16" s="84" t="s">
        <v>43</v>
      </c>
      <c r="R16" s="84"/>
      <c r="S16" s="84"/>
      <c r="T16" s="84"/>
      <c r="U16" s="84"/>
    </row>
    <row r="17" spans="2:21" ht="15" customHeight="1" x14ac:dyDescent="0.25">
      <c r="B17" s="48" t="s">
        <v>44</v>
      </c>
      <c r="C17" s="23">
        <v>1920000</v>
      </c>
      <c r="D17" s="23">
        <v>1920000</v>
      </c>
      <c r="E17" s="24">
        <v>960000</v>
      </c>
      <c r="I17" s="50" t="s">
        <v>45</v>
      </c>
      <c r="J17" s="51">
        <f>+J16*J14</f>
        <v>0</v>
      </c>
      <c r="K17" s="1"/>
      <c r="Q17" s="9" t="s">
        <v>11</v>
      </c>
      <c r="R17" s="10" t="s">
        <v>12</v>
      </c>
      <c r="S17" s="10" t="s">
        <v>13</v>
      </c>
      <c r="T17" s="11" t="s">
        <v>14</v>
      </c>
      <c r="U17" s="10" t="s">
        <v>15</v>
      </c>
    </row>
    <row r="18" spans="2:21" ht="15" customHeight="1" x14ac:dyDescent="0.25">
      <c r="B18" s="48" t="s">
        <v>46</v>
      </c>
      <c r="C18" s="52">
        <v>75000</v>
      </c>
      <c r="D18" s="52">
        <v>45000</v>
      </c>
      <c r="E18" s="53">
        <v>45000</v>
      </c>
      <c r="Q18" s="20" t="s">
        <v>47</v>
      </c>
      <c r="R18" s="20" t="s">
        <v>48</v>
      </c>
      <c r="S18" s="34">
        <v>0</v>
      </c>
      <c r="T18" s="21">
        <v>0</v>
      </c>
      <c r="U18" s="20" t="s">
        <v>15</v>
      </c>
    </row>
    <row r="19" spans="2:21" ht="15" customHeight="1" x14ac:dyDescent="0.25">
      <c r="B19" s="48" t="s">
        <v>49</v>
      </c>
      <c r="C19" s="23">
        <v>0</v>
      </c>
      <c r="D19" s="23">
        <v>0</v>
      </c>
      <c r="E19" s="24">
        <v>0</v>
      </c>
      <c r="L19" s="86" t="s">
        <v>50</v>
      </c>
      <c r="M19" s="86"/>
      <c r="Q19" s="29"/>
      <c r="R19" s="29"/>
      <c r="S19" s="29"/>
      <c r="T19" s="29"/>
      <c r="U19" s="29"/>
    </row>
    <row r="20" spans="2:21" ht="15" customHeight="1" x14ac:dyDescent="0.25">
      <c r="B20" s="48" t="s">
        <v>51</v>
      </c>
      <c r="C20" s="23">
        <v>10000</v>
      </c>
      <c r="D20" s="23">
        <v>50000</v>
      </c>
      <c r="E20" s="24">
        <v>55000</v>
      </c>
      <c r="G20" s="33" t="s">
        <v>52</v>
      </c>
      <c r="K20" s="1"/>
      <c r="L20" s="54" t="s">
        <v>53</v>
      </c>
      <c r="M20" s="55" t="s">
        <v>54</v>
      </c>
      <c r="Q20" s="29"/>
      <c r="R20" s="20" t="s">
        <v>55</v>
      </c>
      <c r="S20" s="21">
        <f>S18*12</f>
        <v>0</v>
      </c>
      <c r="T20" s="29"/>
      <c r="U20" s="29"/>
    </row>
    <row r="21" spans="2:21" ht="41.25" customHeight="1" x14ac:dyDescent="0.25">
      <c r="B21" s="56" t="s">
        <v>56</v>
      </c>
      <c r="C21" s="57">
        <f>SUM(C16:C20)</f>
        <v>2005000</v>
      </c>
      <c r="D21" s="57">
        <f>SUM(D16:D20)</f>
        <v>2015000</v>
      </c>
      <c r="E21" s="58">
        <f>SUM(E16:E20)</f>
        <v>1060000</v>
      </c>
      <c r="G21" s="15">
        <f>SUM(C21:E21)</f>
        <v>5080000</v>
      </c>
      <c r="K21" s="43"/>
      <c r="L21" s="59" t="s">
        <v>57</v>
      </c>
      <c r="M21" s="60">
        <v>3060000</v>
      </c>
    </row>
    <row r="22" spans="2:21" ht="15" customHeight="1" x14ac:dyDescent="0.25">
      <c r="C22" s="1"/>
      <c r="D22" s="1"/>
      <c r="E22" s="1"/>
      <c r="G22" s="33" t="s">
        <v>58</v>
      </c>
      <c r="L22" s="61"/>
      <c r="M22" s="62"/>
    </row>
    <row r="23" spans="2:21" ht="15" customHeight="1" x14ac:dyDescent="0.25">
      <c r="B23" s="63" t="s">
        <v>59</v>
      </c>
      <c r="C23" s="64">
        <f>+C13-C21</f>
        <v>375000</v>
      </c>
      <c r="D23" s="64">
        <f>+D13-D21</f>
        <v>365000</v>
      </c>
      <c r="E23" s="65">
        <f>+E13-E21</f>
        <v>980000</v>
      </c>
      <c r="G23" s="15">
        <f>+G13-G21</f>
        <v>1720000</v>
      </c>
      <c r="L23" s="66"/>
      <c r="M23" s="67"/>
    </row>
    <row r="24" spans="2:21" ht="15.75" customHeight="1" x14ac:dyDescent="0.25">
      <c r="L24" s="68"/>
      <c r="M24" s="68"/>
    </row>
    <row r="25" spans="2:21" ht="15.75" customHeight="1" x14ac:dyDescent="0.3">
      <c r="B25" s="79" t="s">
        <v>51</v>
      </c>
      <c r="C25" s="80" t="s">
        <v>60</v>
      </c>
      <c r="D25" s="80"/>
      <c r="E25" s="80"/>
      <c r="F25" s="80"/>
      <c r="G25" s="69">
        <v>0</v>
      </c>
      <c r="L25" s="68"/>
      <c r="M25" s="68"/>
    </row>
    <row r="26" spans="2:21" ht="15.75" customHeight="1" x14ac:dyDescent="0.3">
      <c r="B26" s="79"/>
      <c r="C26" s="80" t="s">
        <v>61</v>
      </c>
      <c r="D26" s="80"/>
      <c r="E26" s="80"/>
      <c r="F26" s="80"/>
      <c r="G26" s="69">
        <v>0</v>
      </c>
      <c r="L26" s="68"/>
      <c r="M26" s="68"/>
    </row>
    <row r="27" spans="2:21" ht="15.75" customHeight="1" x14ac:dyDescent="0.3">
      <c r="B27" s="79"/>
      <c r="C27" s="80" t="s">
        <v>62</v>
      </c>
      <c r="D27" s="80"/>
      <c r="E27" s="80"/>
      <c r="F27" s="80"/>
      <c r="G27" s="69">
        <v>0</v>
      </c>
      <c r="L27" s="68"/>
      <c r="M27" s="68"/>
    </row>
    <row r="28" spans="2:21" ht="15.75" customHeight="1" x14ac:dyDescent="0.3">
      <c r="B28" s="79"/>
      <c r="C28" s="81" t="s">
        <v>63</v>
      </c>
      <c r="D28" s="81"/>
      <c r="E28" s="81"/>
      <c r="F28" s="81"/>
      <c r="G28" s="69">
        <v>0</v>
      </c>
      <c r="L28" s="68"/>
      <c r="M28" s="68"/>
    </row>
    <row r="29" spans="2:21" ht="15.75" customHeight="1" x14ac:dyDescent="0.25">
      <c r="B29" s="79"/>
      <c r="C29" s="81" t="s">
        <v>64</v>
      </c>
      <c r="D29" s="81"/>
      <c r="E29" s="81"/>
      <c r="F29" s="81"/>
      <c r="G29" s="70">
        <v>0</v>
      </c>
      <c r="L29" s="68"/>
      <c r="M29" s="68"/>
    </row>
    <row r="30" spans="2:21" ht="15.75" customHeight="1" x14ac:dyDescent="0.3">
      <c r="B30" s="79"/>
      <c r="C30" s="81" t="s">
        <v>65</v>
      </c>
      <c r="D30" s="81"/>
      <c r="E30" s="81"/>
      <c r="F30" s="81"/>
      <c r="G30" s="71">
        <v>0</v>
      </c>
      <c r="L30" s="68"/>
      <c r="M30" s="68"/>
    </row>
    <row r="31" spans="2:21" ht="15.75" customHeight="1" x14ac:dyDescent="0.25">
      <c r="B31" s="79"/>
      <c r="C31" s="81" t="s">
        <v>66</v>
      </c>
      <c r="D31" s="81"/>
      <c r="E31" s="81"/>
      <c r="F31" s="81"/>
      <c r="G31" s="70">
        <v>35000</v>
      </c>
      <c r="L31" s="68"/>
      <c r="M31" s="68"/>
    </row>
    <row r="32" spans="2:21" ht="15.75" customHeight="1" x14ac:dyDescent="0.3">
      <c r="B32" s="79"/>
      <c r="C32" s="81" t="s">
        <v>67</v>
      </c>
      <c r="D32" s="81"/>
      <c r="E32" s="81"/>
      <c r="F32" s="81"/>
      <c r="G32" s="71">
        <v>0</v>
      </c>
      <c r="L32" s="68"/>
      <c r="M32" s="68"/>
    </row>
    <row r="33" spans="2:13" ht="15.75" customHeight="1" x14ac:dyDescent="0.3">
      <c r="B33" s="79"/>
      <c r="C33" s="81" t="s">
        <v>68</v>
      </c>
      <c r="D33" s="81"/>
      <c r="E33" s="81"/>
      <c r="F33" s="81"/>
      <c r="G33" s="71">
        <v>0</v>
      </c>
      <c r="L33" s="68"/>
      <c r="M33" s="68"/>
    </row>
    <row r="34" spans="2:13" ht="15.75" customHeight="1" x14ac:dyDescent="0.3">
      <c r="B34" s="79"/>
      <c r="C34" s="81" t="s">
        <v>78</v>
      </c>
      <c r="D34" s="81"/>
      <c r="E34" s="81"/>
      <c r="F34" s="81"/>
      <c r="G34" s="71">
        <v>80000</v>
      </c>
      <c r="L34" s="68"/>
      <c r="M34" s="68"/>
    </row>
    <row r="35" spans="2:13" ht="15.75" customHeight="1" x14ac:dyDescent="0.3">
      <c r="B35" s="79"/>
      <c r="C35" s="82" t="s">
        <v>69</v>
      </c>
      <c r="D35" s="82"/>
      <c r="E35" s="82"/>
      <c r="F35" s="82"/>
      <c r="G35" s="71">
        <v>0</v>
      </c>
      <c r="L35" s="68"/>
      <c r="M35" s="68"/>
    </row>
    <row r="36" spans="2:13" ht="15.75" customHeight="1" x14ac:dyDescent="0.25">
      <c r="C36" s="78" t="s">
        <v>70</v>
      </c>
      <c r="D36" s="78"/>
      <c r="E36" s="78"/>
      <c r="F36" s="78"/>
      <c r="G36" s="72">
        <f>SUM(G25:G35)</f>
        <v>115000</v>
      </c>
      <c r="L36" s="68"/>
      <c r="M36" s="68"/>
    </row>
    <row r="37" spans="2:13" ht="15.75" customHeight="1" x14ac:dyDescent="0.25">
      <c r="C37" s="73"/>
      <c r="D37" s="73"/>
      <c r="E37" s="73"/>
      <c r="F37" s="73"/>
      <c r="G37" s="74"/>
      <c r="L37" s="68"/>
      <c r="M37" s="68"/>
    </row>
    <row r="38" spans="2:13" ht="15.75" customHeight="1" x14ac:dyDescent="0.25">
      <c r="B38" s="75" t="s">
        <v>71</v>
      </c>
      <c r="C38" s="77" t="s">
        <v>72</v>
      </c>
      <c r="D38" s="77"/>
      <c r="E38" s="77"/>
      <c r="F38" s="77"/>
    </row>
    <row r="39" spans="2:13" ht="15.75" customHeight="1" x14ac:dyDescent="0.25">
      <c r="B39" s="75" t="s">
        <v>73</v>
      </c>
      <c r="C39" s="77" t="s">
        <v>74</v>
      </c>
      <c r="D39" s="77"/>
      <c r="E39" s="77"/>
      <c r="F39" s="77"/>
    </row>
    <row r="40" spans="2:13" ht="15.75" customHeight="1" x14ac:dyDescent="0.25">
      <c r="C40" s="76"/>
    </row>
    <row r="41" spans="2:13" ht="15.75" customHeight="1" x14ac:dyDescent="0.25"/>
    <row r="42" spans="2:13" ht="15.75" customHeight="1" x14ac:dyDescent="0.25"/>
    <row r="43" spans="2:13" ht="15.75" customHeight="1" x14ac:dyDescent="0.25"/>
    <row r="44" spans="2:13" ht="15.75" customHeight="1" x14ac:dyDescent="0.25"/>
    <row r="45" spans="2:13" ht="15.75" customHeight="1" x14ac:dyDescent="0.25"/>
    <row r="46" spans="2:13" ht="15.75" customHeight="1" x14ac:dyDescent="0.25"/>
    <row r="47" spans="2:13" ht="15.75" customHeight="1" x14ac:dyDescent="0.25"/>
    <row r="48" spans="2:13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mergeCells count="25">
    <mergeCell ref="B4:G4"/>
    <mergeCell ref="C5:E5"/>
    <mergeCell ref="I5:J5"/>
    <mergeCell ref="B1:N1"/>
    <mergeCell ref="B2:N2"/>
    <mergeCell ref="L5:M5"/>
    <mergeCell ref="Q5:U5"/>
    <mergeCell ref="B15:E15"/>
    <mergeCell ref="Q16:U16"/>
    <mergeCell ref="L19:M19"/>
    <mergeCell ref="B25:B35"/>
    <mergeCell ref="C25:F25"/>
    <mergeCell ref="C26:F26"/>
    <mergeCell ref="C27:F27"/>
    <mergeCell ref="C28:F28"/>
    <mergeCell ref="C29:F29"/>
    <mergeCell ref="C30:F30"/>
    <mergeCell ref="C31:F31"/>
    <mergeCell ref="C32:F32"/>
    <mergeCell ref="C33:F33"/>
    <mergeCell ref="C35:F35"/>
    <mergeCell ref="C34:F34"/>
    <mergeCell ref="C38:F38"/>
    <mergeCell ref="C39:F39"/>
    <mergeCell ref="C36:F36"/>
  </mergeCells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U998"/>
  <sheetViews>
    <sheetView tabSelected="1" zoomScale="85" zoomScaleNormal="85" workbookViewId="0">
      <selection activeCell="J22" sqref="J22"/>
    </sheetView>
  </sheetViews>
  <sheetFormatPr baseColWidth="10" defaultColWidth="14.42578125" defaultRowHeight="15" x14ac:dyDescent="0.25"/>
  <cols>
    <col min="1" max="1" width="10.7109375" customWidth="1"/>
    <col min="2" max="2" width="21.42578125" customWidth="1"/>
    <col min="3" max="3" width="14.28515625" customWidth="1"/>
    <col min="4" max="4" width="17.5703125" customWidth="1"/>
    <col min="5" max="5" width="20.140625" customWidth="1"/>
    <col min="6" max="6" width="12.85546875" customWidth="1"/>
    <col min="7" max="7" width="14.28515625" customWidth="1"/>
    <col min="9" max="9" width="14.28515625" customWidth="1"/>
    <col min="10" max="10" width="13.7109375" customWidth="1"/>
    <col min="11" max="11" width="12.140625" customWidth="1"/>
    <col min="12" max="12" width="24.140625" customWidth="1"/>
    <col min="13" max="13" width="12.42578125" customWidth="1"/>
    <col min="14" max="14" width="4.85546875" customWidth="1"/>
    <col min="15" max="16" width="10.7109375" customWidth="1"/>
    <col min="17" max="17" width="32.5703125" customWidth="1"/>
    <col min="18" max="18" width="19" customWidth="1"/>
    <col min="19" max="19" width="17.140625" customWidth="1"/>
    <col min="20" max="20" width="11.5703125" customWidth="1"/>
    <col min="21" max="21" width="6" customWidth="1"/>
    <col min="22" max="26" width="10.7109375" customWidth="1"/>
  </cols>
  <sheetData>
    <row r="1" spans="2:21" ht="15" customHeight="1" x14ac:dyDescent="0.25">
      <c r="B1" s="90" t="s">
        <v>3</v>
      </c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2"/>
    </row>
    <row r="2" spans="2:21" ht="15" customHeight="1" x14ac:dyDescent="0.25">
      <c r="B2" s="89" t="s">
        <v>75</v>
      </c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</row>
    <row r="3" spans="2:21" ht="15" customHeight="1" x14ac:dyDescent="0.3">
      <c r="B3" s="2"/>
      <c r="C3" s="2"/>
      <c r="D3" s="2"/>
      <c r="E3" s="2"/>
      <c r="F3" s="2"/>
      <c r="G3" s="2"/>
      <c r="H3" s="2"/>
      <c r="I3" s="2"/>
    </row>
    <row r="4" spans="2:21" ht="15" customHeight="1" x14ac:dyDescent="0.25">
      <c r="B4" s="87" t="s">
        <v>4</v>
      </c>
      <c r="C4" s="87"/>
      <c r="D4" s="87"/>
      <c r="E4" s="87"/>
      <c r="F4" s="87"/>
      <c r="G4" s="87"/>
    </row>
    <row r="5" spans="2:21" ht="15" customHeight="1" x14ac:dyDescent="0.25">
      <c r="C5" s="88" t="s">
        <v>5</v>
      </c>
      <c r="D5" s="88"/>
      <c r="E5" s="88"/>
      <c r="F5" s="3"/>
      <c r="G5" s="3"/>
      <c r="I5" s="86" t="s">
        <v>6</v>
      </c>
      <c r="J5" s="86"/>
      <c r="L5" s="83" t="s">
        <v>7</v>
      </c>
      <c r="M5" s="83"/>
      <c r="N5" s="3"/>
      <c r="Q5" s="84" t="s">
        <v>8</v>
      </c>
      <c r="R5" s="84"/>
      <c r="S5" s="84"/>
      <c r="T5" s="84"/>
      <c r="U5" s="84"/>
    </row>
    <row r="6" spans="2:21" ht="15.75" customHeight="1" x14ac:dyDescent="0.25">
      <c r="C6" s="93" t="s">
        <v>0</v>
      </c>
      <c r="D6" s="94" t="s">
        <v>1</v>
      </c>
      <c r="E6" s="95" t="s">
        <v>2</v>
      </c>
      <c r="F6" s="4"/>
      <c r="G6" s="4"/>
      <c r="I6" s="5" t="s">
        <v>9</v>
      </c>
      <c r="J6" s="6">
        <v>0</v>
      </c>
      <c r="K6" s="1"/>
      <c r="L6" s="7" t="s">
        <v>10</v>
      </c>
      <c r="M6" s="8">
        <f>(J13*-1)+(-M21)</f>
        <v>-3978000</v>
      </c>
      <c r="Q6" s="9" t="s">
        <v>11</v>
      </c>
      <c r="R6" s="10" t="s">
        <v>12</v>
      </c>
      <c r="S6" s="10" t="s">
        <v>13</v>
      </c>
      <c r="T6" s="11" t="s">
        <v>14</v>
      </c>
      <c r="U6" s="10" t="s">
        <v>15</v>
      </c>
    </row>
    <row r="7" spans="2:21" ht="15" customHeight="1" x14ac:dyDescent="0.25">
      <c r="B7" s="12" t="s">
        <v>16</v>
      </c>
      <c r="C7" s="13">
        <v>4920000</v>
      </c>
      <c r="D7" s="13">
        <v>1920000</v>
      </c>
      <c r="E7" s="14">
        <v>1920000</v>
      </c>
      <c r="F7" s="15"/>
      <c r="G7" s="15"/>
      <c r="I7" s="16" t="s">
        <v>17</v>
      </c>
      <c r="J7" s="17">
        <f>IF(J8=0,0,J9/J8)</f>
        <v>1</v>
      </c>
      <c r="K7" s="1"/>
      <c r="L7" s="18" t="s">
        <v>18</v>
      </c>
      <c r="M7" s="19">
        <f>+C23</f>
        <v>2865000</v>
      </c>
      <c r="Q7" s="20" t="s">
        <v>19</v>
      </c>
      <c r="R7" s="20" t="s">
        <v>20</v>
      </c>
      <c r="S7" s="21">
        <v>960000</v>
      </c>
      <c r="T7" s="21">
        <v>6000</v>
      </c>
      <c r="U7" s="20" t="s">
        <v>15</v>
      </c>
    </row>
    <row r="8" spans="2:21" ht="15" customHeight="1" x14ac:dyDescent="0.25">
      <c r="B8" s="22" t="s">
        <v>21</v>
      </c>
      <c r="C8" s="23">
        <v>0</v>
      </c>
      <c r="D8" s="23">
        <v>0</v>
      </c>
      <c r="E8" s="24">
        <v>0</v>
      </c>
      <c r="F8" s="15"/>
      <c r="G8" s="15"/>
      <c r="I8" s="25" t="s">
        <v>22</v>
      </c>
      <c r="J8" s="26">
        <f>C7</f>
        <v>4920000</v>
      </c>
      <c r="K8" s="1"/>
      <c r="L8" s="18" t="s">
        <v>23</v>
      </c>
      <c r="M8" s="19">
        <f>+D23</f>
        <v>-155000</v>
      </c>
      <c r="Q8" s="20" t="s">
        <v>24</v>
      </c>
      <c r="R8" s="20" t="s">
        <v>20</v>
      </c>
      <c r="S8" s="21">
        <v>960000</v>
      </c>
      <c r="T8" s="21">
        <v>6000</v>
      </c>
      <c r="U8" s="20" t="s">
        <v>15</v>
      </c>
    </row>
    <row r="9" spans="2:21" ht="15" customHeight="1" x14ac:dyDescent="0.25">
      <c r="B9" s="22" t="s">
        <v>25</v>
      </c>
      <c r="C9" s="23">
        <v>0</v>
      </c>
      <c r="D9" s="23">
        <v>0</v>
      </c>
      <c r="E9" s="24">
        <v>0</v>
      </c>
      <c r="F9" s="15"/>
      <c r="G9" s="15"/>
      <c r="I9" s="16" t="s">
        <v>17</v>
      </c>
      <c r="J9" s="27">
        <f>+J8-J6</f>
        <v>4920000</v>
      </c>
      <c r="K9" s="1"/>
      <c r="L9" s="18" t="s">
        <v>26</v>
      </c>
      <c r="M9" s="19">
        <f>+E23</f>
        <v>-440000</v>
      </c>
      <c r="Q9" s="20"/>
      <c r="R9" s="20"/>
      <c r="S9" s="21"/>
      <c r="T9" s="21"/>
      <c r="U9" s="20" t="s">
        <v>15</v>
      </c>
    </row>
    <row r="10" spans="2:21" ht="15" customHeight="1" x14ac:dyDescent="0.25">
      <c r="B10" s="28" t="s">
        <v>27</v>
      </c>
      <c r="C10" s="23">
        <v>0</v>
      </c>
      <c r="D10" s="23">
        <v>0</v>
      </c>
      <c r="E10" s="24">
        <v>0</v>
      </c>
      <c r="F10" s="15"/>
      <c r="G10" s="15"/>
      <c r="I10" s="16"/>
      <c r="J10" s="27"/>
      <c r="K10" s="1"/>
      <c r="L10" s="18"/>
      <c r="M10" s="19"/>
      <c r="Q10" s="29"/>
      <c r="R10" s="29"/>
      <c r="S10" s="29"/>
      <c r="T10" s="29"/>
      <c r="U10" s="29"/>
    </row>
    <row r="11" spans="2:21" ht="15" customHeight="1" x14ac:dyDescent="0.25">
      <c r="B11" s="30" t="s">
        <v>28</v>
      </c>
      <c r="C11" s="31"/>
      <c r="D11" s="31"/>
      <c r="E11" s="32">
        <v>0</v>
      </c>
      <c r="F11" s="15"/>
      <c r="G11" s="15"/>
      <c r="I11" s="16"/>
      <c r="J11" s="27"/>
      <c r="K11" s="1"/>
      <c r="L11" s="18"/>
      <c r="M11" s="19"/>
      <c r="Q11" s="29"/>
      <c r="R11" s="29"/>
      <c r="S11" s="29"/>
      <c r="T11" s="29"/>
      <c r="U11" s="29"/>
    </row>
    <row r="12" spans="2:21" ht="15" customHeight="1" x14ac:dyDescent="0.25">
      <c r="B12" s="30" t="s">
        <v>29</v>
      </c>
      <c r="C12" s="31">
        <f>SUM(C7:C10)</f>
        <v>4920000</v>
      </c>
      <c r="D12" s="31">
        <f>SUM(D7:D10)</f>
        <v>1920000</v>
      </c>
      <c r="E12" s="32">
        <f>SUM(E7:E11)</f>
        <v>1920000</v>
      </c>
      <c r="G12" s="33" t="s">
        <v>4</v>
      </c>
      <c r="I12" s="16"/>
      <c r="J12" s="27"/>
      <c r="K12" s="1"/>
      <c r="L12" s="18"/>
      <c r="M12" s="19"/>
      <c r="Q12" s="29"/>
      <c r="R12" s="20" t="s">
        <v>30</v>
      </c>
      <c r="S12" s="34">
        <f>SUM(S7:S10)</f>
        <v>1920000</v>
      </c>
      <c r="T12" s="35"/>
      <c r="U12" s="29"/>
    </row>
    <row r="13" spans="2:21" ht="15" customHeight="1" x14ac:dyDescent="0.25">
      <c r="B13" s="36" t="s">
        <v>31</v>
      </c>
      <c r="C13" s="37">
        <f>+C12</f>
        <v>4920000</v>
      </c>
      <c r="D13" s="37">
        <f>D12</f>
        <v>1920000</v>
      </c>
      <c r="E13" s="38">
        <f>E12</f>
        <v>1920000</v>
      </c>
      <c r="G13" s="15">
        <f>SUM(C13,D13,E13)</f>
        <v>8760000</v>
      </c>
      <c r="I13" s="39" t="s">
        <v>32</v>
      </c>
      <c r="J13" s="40">
        <v>0</v>
      </c>
      <c r="K13" s="1"/>
      <c r="L13" s="18"/>
      <c r="M13" s="18"/>
      <c r="Q13" s="29"/>
      <c r="R13" s="20" t="s">
        <v>33</v>
      </c>
      <c r="S13" s="34">
        <f>8*T7</f>
        <v>48000</v>
      </c>
      <c r="T13" s="29"/>
      <c r="U13" s="29"/>
    </row>
    <row r="14" spans="2:21" ht="15" customHeight="1" x14ac:dyDescent="0.25">
      <c r="C14" s="1"/>
      <c r="D14" s="1"/>
      <c r="E14" s="1"/>
      <c r="I14" s="41" t="s">
        <v>34</v>
      </c>
      <c r="J14" s="27">
        <v>12</v>
      </c>
      <c r="K14" s="1"/>
      <c r="L14" s="18" t="s">
        <v>35</v>
      </c>
      <c r="M14" s="42">
        <v>18</v>
      </c>
      <c r="N14" s="43">
        <f>+M14/100</f>
        <v>0.18</v>
      </c>
      <c r="Q14" s="44"/>
      <c r="R14" s="20" t="s">
        <v>36</v>
      </c>
      <c r="S14" s="21">
        <f>S12*12</f>
        <v>23040000</v>
      </c>
      <c r="T14" s="29"/>
      <c r="U14" s="29"/>
    </row>
    <row r="15" spans="2:21" ht="15" customHeight="1" x14ac:dyDescent="0.25">
      <c r="B15" s="85" t="s">
        <v>37</v>
      </c>
      <c r="C15" s="85"/>
      <c r="D15" s="85"/>
      <c r="E15" s="85"/>
      <c r="I15" s="41" t="s">
        <v>38</v>
      </c>
      <c r="J15" s="45">
        <f>M14/J14</f>
        <v>1.5</v>
      </c>
      <c r="K15" s="46"/>
      <c r="L15" s="18" t="s">
        <v>39</v>
      </c>
      <c r="M15" s="47">
        <f t="array" ref="M15">NPV(N14,C23,D23,E23)+M6</f>
        <v>-1929150.0688970147</v>
      </c>
      <c r="Q15" s="29"/>
      <c r="R15" s="29"/>
      <c r="S15" s="29"/>
      <c r="T15" s="29"/>
      <c r="U15" s="29"/>
    </row>
    <row r="16" spans="2:21" ht="15" customHeight="1" x14ac:dyDescent="0.25">
      <c r="B16" s="48" t="s">
        <v>40</v>
      </c>
      <c r="C16" s="23">
        <v>0</v>
      </c>
      <c r="D16" s="23">
        <v>0</v>
      </c>
      <c r="E16" s="24">
        <v>0</v>
      </c>
      <c r="I16" s="41" t="s">
        <v>41</v>
      </c>
      <c r="J16" s="27">
        <f>(J13/J14)*J15</f>
        <v>0</v>
      </c>
      <c r="K16" s="1"/>
      <c r="L16" s="18" t="s">
        <v>42</v>
      </c>
      <c r="M16" s="49" t="str">
        <f t="array" ref="M16">IFERROR(IRR(M6:M9),"N/D")</f>
        <v>N/D</v>
      </c>
      <c r="Q16" s="84" t="s">
        <v>43</v>
      </c>
      <c r="R16" s="84"/>
      <c r="S16" s="84"/>
      <c r="T16" s="84"/>
      <c r="U16" s="84"/>
    </row>
    <row r="17" spans="2:21" ht="15" customHeight="1" x14ac:dyDescent="0.25">
      <c r="B17" s="48" t="s">
        <v>44</v>
      </c>
      <c r="C17" s="23">
        <v>1920000</v>
      </c>
      <c r="D17" s="23">
        <v>1920000</v>
      </c>
      <c r="E17" s="24">
        <v>2220000</v>
      </c>
      <c r="I17" s="50" t="s">
        <v>45</v>
      </c>
      <c r="J17" s="51">
        <f>+J16*J14</f>
        <v>0</v>
      </c>
      <c r="K17" s="1"/>
      <c r="Q17" s="9" t="s">
        <v>11</v>
      </c>
      <c r="R17" s="10" t="s">
        <v>12</v>
      </c>
      <c r="S17" s="10" t="s">
        <v>13</v>
      </c>
      <c r="T17" s="11" t="s">
        <v>14</v>
      </c>
      <c r="U17" s="10" t="s">
        <v>15</v>
      </c>
    </row>
    <row r="18" spans="2:21" ht="15" customHeight="1" x14ac:dyDescent="0.25">
      <c r="B18" s="48" t="s">
        <v>46</v>
      </c>
      <c r="C18" s="52">
        <v>105000</v>
      </c>
      <c r="D18" s="52">
        <v>75000</v>
      </c>
      <c r="E18" s="53">
        <v>75000</v>
      </c>
      <c r="Q18" s="20" t="s">
        <v>47</v>
      </c>
      <c r="R18" s="20" t="s">
        <v>48</v>
      </c>
      <c r="S18" s="34">
        <v>300000</v>
      </c>
      <c r="T18" s="21">
        <v>7500</v>
      </c>
      <c r="U18" s="20" t="s">
        <v>15</v>
      </c>
    </row>
    <row r="19" spans="2:21" ht="15" customHeight="1" x14ac:dyDescent="0.25">
      <c r="B19" s="48" t="s">
        <v>49</v>
      </c>
      <c r="C19" s="23">
        <v>0</v>
      </c>
      <c r="D19" s="23">
        <v>0</v>
      </c>
      <c r="E19" s="24">
        <v>0</v>
      </c>
      <c r="L19" s="86" t="s">
        <v>50</v>
      </c>
      <c r="M19" s="86"/>
      <c r="Q19" s="29"/>
      <c r="R19" s="29"/>
      <c r="S19" s="29"/>
      <c r="T19" s="29"/>
      <c r="U19" s="29"/>
    </row>
    <row r="20" spans="2:21" ht="15" customHeight="1" x14ac:dyDescent="0.25">
      <c r="B20" s="48" t="s">
        <v>51</v>
      </c>
      <c r="C20" s="23">
        <v>30000</v>
      </c>
      <c r="D20" s="23">
        <v>80000</v>
      </c>
      <c r="E20" s="24">
        <v>65000</v>
      </c>
      <c r="G20" s="33" t="s">
        <v>52</v>
      </c>
      <c r="K20" s="1"/>
      <c r="L20" s="54" t="s">
        <v>53</v>
      </c>
      <c r="M20" s="55" t="s">
        <v>54</v>
      </c>
      <c r="Q20" s="29"/>
      <c r="R20" s="20" t="s">
        <v>55</v>
      </c>
      <c r="S20" s="21">
        <f>S18*12</f>
        <v>3600000</v>
      </c>
      <c r="T20" s="29"/>
      <c r="U20" s="29"/>
    </row>
    <row r="21" spans="2:21" ht="41.25" customHeight="1" x14ac:dyDescent="0.25">
      <c r="B21" s="56" t="s">
        <v>56</v>
      </c>
      <c r="C21" s="57">
        <f>SUM(C16:C20)</f>
        <v>2055000</v>
      </c>
      <c r="D21" s="57">
        <f>SUM(D16:D20)</f>
        <v>2075000</v>
      </c>
      <c r="E21" s="58">
        <f>SUM(E16:E20)</f>
        <v>2360000</v>
      </c>
      <c r="G21" s="15">
        <f>SUM(C21:E21)</f>
        <v>6490000</v>
      </c>
      <c r="K21" s="43"/>
      <c r="L21" s="59" t="s">
        <v>57</v>
      </c>
      <c r="M21" s="60">
        <v>3978000</v>
      </c>
    </row>
    <row r="22" spans="2:21" ht="15" customHeight="1" x14ac:dyDescent="0.25">
      <c r="C22" s="1"/>
      <c r="D22" s="1"/>
      <c r="E22" s="1"/>
      <c r="G22" s="33" t="s">
        <v>58</v>
      </c>
      <c r="L22" s="61"/>
      <c r="M22" s="62"/>
    </row>
    <row r="23" spans="2:21" ht="15" customHeight="1" x14ac:dyDescent="0.25">
      <c r="B23" s="63" t="s">
        <v>59</v>
      </c>
      <c r="C23" s="64">
        <f>+C13-C21</f>
        <v>2865000</v>
      </c>
      <c r="D23" s="64">
        <f>+D13-D21</f>
        <v>-155000</v>
      </c>
      <c r="E23" s="65">
        <f>+E13-E21</f>
        <v>-440000</v>
      </c>
      <c r="G23" s="15">
        <f>+G13-G21</f>
        <v>2270000</v>
      </c>
      <c r="L23" s="66"/>
      <c r="M23" s="67"/>
    </row>
    <row r="24" spans="2:21" ht="15.75" customHeight="1" x14ac:dyDescent="0.25">
      <c r="L24" s="68"/>
      <c r="M24" s="68"/>
    </row>
    <row r="25" spans="2:21" ht="15.75" customHeight="1" x14ac:dyDescent="0.3">
      <c r="B25" s="79" t="s">
        <v>51</v>
      </c>
      <c r="C25" s="80" t="s">
        <v>60</v>
      </c>
      <c r="D25" s="80"/>
      <c r="E25" s="80"/>
      <c r="F25" s="80"/>
      <c r="G25" s="69">
        <v>0</v>
      </c>
      <c r="L25" s="68"/>
      <c r="M25" s="68"/>
    </row>
    <row r="26" spans="2:21" ht="15.75" customHeight="1" x14ac:dyDescent="0.3">
      <c r="B26" s="79"/>
      <c r="C26" s="80" t="s">
        <v>61</v>
      </c>
      <c r="D26" s="80"/>
      <c r="E26" s="80"/>
      <c r="F26" s="80"/>
      <c r="G26" s="69">
        <v>0</v>
      </c>
      <c r="L26" s="68"/>
      <c r="M26" s="68"/>
    </row>
    <row r="27" spans="2:21" ht="15.75" customHeight="1" x14ac:dyDescent="0.3">
      <c r="B27" s="79"/>
      <c r="C27" s="80" t="s">
        <v>62</v>
      </c>
      <c r="D27" s="80"/>
      <c r="E27" s="80"/>
      <c r="F27" s="80"/>
      <c r="G27" s="69">
        <v>0</v>
      </c>
      <c r="L27" s="68"/>
      <c r="M27" s="68"/>
    </row>
    <row r="28" spans="2:21" ht="15.75" customHeight="1" x14ac:dyDescent="0.3">
      <c r="B28" s="79"/>
      <c r="C28" s="81" t="s">
        <v>63</v>
      </c>
      <c r="D28" s="81"/>
      <c r="E28" s="81"/>
      <c r="F28" s="81"/>
      <c r="G28" s="69">
        <v>0</v>
      </c>
      <c r="L28" s="68"/>
      <c r="M28" s="68"/>
    </row>
    <row r="29" spans="2:21" ht="15.75" customHeight="1" x14ac:dyDescent="0.25">
      <c r="B29" s="79"/>
      <c r="C29" s="81" t="s">
        <v>64</v>
      </c>
      <c r="D29" s="81"/>
      <c r="E29" s="81"/>
      <c r="F29" s="81"/>
      <c r="G29" s="70">
        <v>0</v>
      </c>
      <c r="L29" s="68"/>
      <c r="M29" s="68"/>
    </row>
    <row r="30" spans="2:21" ht="15.75" customHeight="1" x14ac:dyDescent="0.3">
      <c r="B30" s="79"/>
      <c r="C30" s="81" t="s">
        <v>65</v>
      </c>
      <c r="D30" s="81"/>
      <c r="E30" s="81"/>
      <c r="F30" s="81"/>
      <c r="G30" s="71">
        <v>0</v>
      </c>
      <c r="L30" s="68"/>
      <c r="M30" s="68"/>
    </row>
    <row r="31" spans="2:21" ht="15.75" customHeight="1" x14ac:dyDescent="0.25">
      <c r="B31" s="79"/>
      <c r="C31" s="81" t="s">
        <v>66</v>
      </c>
      <c r="D31" s="81"/>
      <c r="E31" s="81"/>
      <c r="F31" s="81"/>
      <c r="G31" s="70">
        <v>50000</v>
      </c>
      <c r="L31" s="68"/>
      <c r="M31" s="68"/>
    </row>
    <row r="32" spans="2:21" ht="15.75" customHeight="1" x14ac:dyDescent="0.3">
      <c r="B32" s="79"/>
      <c r="C32" s="81" t="s">
        <v>67</v>
      </c>
      <c r="D32" s="81"/>
      <c r="E32" s="81"/>
      <c r="F32" s="81"/>
      <c r="G32" s="71">
        <v>0</v>
      </c>
      <c r="L32" s="68"/>
      <c r="M32" s="68"/>
    </row>
    <row r="33" spans="2:13" ht="15.75" customHeight="1" x14ac:dyDescent="0.3">
      <c r="B33" s="79"/>
      <c r="C33" s="81" t="s">
        <v>68</v>
      </c>
      <c r="D33" s="81"/>
      <c r="E33" s="81"/>
      <c r="F33" s="81"/>
      <c r="G33" s="71">
        <v>0</v>
      </c>
      <c r="L33" s="68"/>
      <c r="M33" s="68"/>
    </row>
    <row r="34" spans="2:13" ht="15.75" customHeight="1" x14ac:dyDescent="0.3">
      <c r="B34" s="79"/>
      <c r="C34" s="81" t="s">
        <v>78</v>
      </c>
      <c r="D34" s="81"/>
      <c r="E34" s="81"/>
      <c r="F34" s="81"/>
      <c r="G34" s="71">
        <v>100000</v>
      </c>
      <c r="L34" s="68"/>
      <c r="M34" s="68"/>
    </row>
    <row r="35" spans="2:13" ht="15.75" customHeight="1" x14ac:dyDescent="0.3">
      <c r="B35" s="79"/>
      <c r="C35" s="101" t="s">
        <v>79</v>
      </c>
      <c r="D35" s="82"/>
      <c r="E35" s="82"/>
      <c r="F35" s="82"/>
      <c r="G35" s="71">
        <v>25000</v>
      </c>
      <c r="L35" s="68"/>
      <c r="M35" s="68"/>
    </row>
    <row r="36" spans="2:13" ht="15.75" customHeight="1" x14ac:dyDescent="0.25">
      <c r="C36" s="78" t="s">
        <v>70</v>
      </c>
      <c r="D36" s="78"/>
      <c r="E36" s="78"/>
      <c r="F36" s="78"/>
      <c r="G36" s="72">
        <f>SUM(G25:G35)</f>
        <v>175000</v>
      </c>
      <c r="L36" s="68"/>
      <c r="M36" s="68"/>
    </row>
    <row r="37" spans="2:13" ht="15.75" customHeight="1" x14ac:dyDescent="0.25">
      <c r="L37" s="68"/>
      <c r="M37" s="68"/>
    </row>
    <row r="38" spans="2:13" ht="15.75" customHeight="1" x14ac:dyDescent="0.25">
      <c r="B38" s="75" t="s">
        <v>71</v>
      </c>
      <c r="C38" s="77" t="s">
        <v>72</v>
      </c>
      <c r="D38" s="77"/>
      <c r="E38" s="77"/>
      <c r="F38" s="77"/>
    </row>
    <row r="39" spans="2:13" ht="15.75" customHeight="1" x14ac:dyDescent="0.25">
      <c r="B39" s="75" t="s">
        <v>73</v>
      </c>
      <c r="C39" s="77" t="s">
        <v>74</v>
      </c>
      <c r="D39" s="77"/>
      <c r="E39" s="77"/>
      <c r="F39" s="77"/>
    </row>
    <row r="40" spans="2:13" ht="15.75" customHeight="1" x14ac:dyDescent="0.25">
      <c r="C40" s="76"/>
    </row>
    <row r="41" spans="2:13" ht="15.75" customHeight="1" x14ac:dyDescent="0.25"/>
    <row r="42" spans="2:13" ht="15.75" customHeight="1" x14ac:dyDescent="0.25"/>
    <row r="43" spans="2:13" ht="15.75" customHeight="1" x14ac:dyDescent="0.25"/>
    <row r="44" spans="2:13" ht="15.75" customHeight="1" x14ac:dyDescent="0.25"/>
    <row r="45" spans="2:13" ht="15.75" customHeight="1" x14ac:dyDescent="0.25"/>
    <row r="46" spans="2:13" ht="15.75" customHeight="1" x14ac:dyDescent="0.25"/>
    <row r="47" spans="2:13" ht="15.75" customHeight="1" x14ac:dyDescent="0.25"/>
    <row r="48" spans="2:13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mergeCells count="25">
    <mergeCell ref="B4:G4"/>
    <mergeCell ref="C5:E5"/>
    <mergeCell ref="I5:J5"/>
    <mergeCell ref="B1:N1"/>
    <mergeCell ref="B2:N2"/>
    <mergeCell ref="L5:M5"/>
    <mergeCell ref="Q5:U5"/>
    <mergeCell ref="B15:E15"/>
    <mergeCell ref="Q16:U16"/>
    <mergeCell ref="L19:M19"/>
    <mergeCell ref="C25:F25"/>
    <mergeCell ref="C26:F26"/>
    <mergeCell ref="C27:F27"/>
    <mergeCell ref="C28:F28"/>
    <mergeCell ref="C29:F29"/>
    <mergeCell ref="C30:F30"/>
    <mergeCell ref="C31:F31"/>
    <mergeCell ref="C32:F32"/>
    <mergeCell ref="C33:F33"/>
    <mergeCell ref="C34:F34"/>
    <mergeCell ref="B25:B35"/>
    <mergeCell ref="C38:F38"/>
    <mergeCell ref="C39:F39"/>
    <mergeCell ref="C35:F35"/>
    <mergeCell ref="C36:F36"/>
  </mergeCell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Flujos - Bajo </vt:lpstr>
      <vt:lpstr>Flujos - Medio </vt:lpstr>
      <vt:lpstr>Flujos - Alto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CETECOM</dc:creator>
  <dc:description/>
  <cp:lastModifiedBy>SSDD</cp:lastModifiedBy>
  <cp:revision>0</cp:revision>
  <dcterms:created xsi:type="dcterms:W3CDTF">2022-10-18T13:55:40Z</dcterms:created>
  <dcterms:modified xsi:type="dcterms:W3CDTF">2026-09-22T18:04:18Z</dcterms:modified>
  <dc:language>en-US</dc:language>
</cp:coreProperties>
</file>